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/>
  <mc:AlternateContent xmlns:mc="http://schemas.openxmlformats.org/markup-compatibility/2006">
    <mc:Choice Requires="x15">
      <x15ac:absPath xmlns:x15ac="http://schemas.microsoft.com/office/spreadsheetml/2010/11/ac" url="https://uio-my.sharepoint.com/personal/karinfos_uio_no/Documents/Dokumenter/Energy_for_Future/Workshop/"/>
    </mc:Choice>
  </mc:AlternateContent>
  <xr:revisionPtr revIDLastSave="19" documentId="8_{059B7979-B174-4424-87E4-A19B7630A645}" xr6:coauthVersionLast="47" xr6:coauthVersionMax="47" xr10:uidLastSave="{C1FF9512-D95F-4BCC-9F54-AFB066833C56}"/>
  <bookViews>
    <workbookView xWindow="2730" yWindow="300" windowWidth="28800" windowHeight="17745" firstSheet="2" activeTab="2" xr2:uid="{00000000-000D-0000-FFFF-FFFF00000000}"/>
  </bookViews>
  <sheets>
    <sheet name="VERSION SD" sheetId="4" r:id="rId1"/>
    <sheet name="VERSION 2" sheetId="1" r:id="rId2"/>
    <sheet name="VERSION_NO" sheetId="5" r:id="rId3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5" l="1"/>
  <c r="J6" i="5"/>
  <c r="B19" i="5"/>
  <c r="B21" i="5"/>
  <c r="G6" i="5"/>
  <c r="K19" i="5"/>
  <c r="K20" i="5"/>
  <c r="K21" i="5"/>
  <c r="B20" i="5"/>
  <c r="E19" i="5"/>
  <c r="E20" i="5"/>
  <c r="E21" i="5"/>
  <c r="H19" i="5"/>
  <c r="H20" i="5"/>
  <c r="H21" i="5"/>
  <c r="N19" i="5"/>
  <c r="N20" i="5"/>
  <c r="N21" i="5"/>
  <c r="Q21" i="5"/>
  <c r="M24" i="5"/>
  <c r="J7" i="5"/>
  <c r="D14" i="5"/>
  <c r="D7" i="5"/>
  <c r="D8" i="5"/>
  <c r="D9" i="5"/>
  <c r="D10" i="5"/>
  <c r="D13" i="5"/>
  <c r="D15" i="5"/>
  <c r="D16" i="5"/>
  <c r="D17" i="5"/>
  <c r="O24" i="5"/>
  <c r="G7" i="5"/>
  <c r="M7" i="5"/>
  <c r="P7" i="5"/>
  <c r="R7" i="5"/>
  <c r="G13" i="5"/>
  <c r="G14" i="5"/>
  <c r="B19" i="4"/>
  <c r="B20" i="4"/>
  <c r="B21" i="4"/>
  <c r="D6" i="4"/>
  <c r="M6" i="5"/>
  <c r="P6" i="5"/>
  <c r="R6" i="5"/>
  <c r="G8" i="5"/>
  <c r="J8" i="5"/>
  <c r="M8" i="5"/>
  <c r="P8" i="5"/>
  <c r="R8" i="5"/>
  <c r="G16" i="5"/>
  <c r="J16" i="5"/>
  <c r="M16" i="5"/>
  <c r="P16" i="5"/>
  <c r="R16" i="5"/>
  <c r="F19" i="5"/>
  <c r="G17" i="5"/>
  <c r="O20" i="5"/>
  <c r="L20" i="5"/>
  <c r="I20" i="5"/>
  <c r="F20" i="5"/>
  <c r="C20" i="5"/>
  <c r="O19" i="5"/>
  <c r="L19" i="5"/>
  <c r="I19" i="5"/>
  <c r="C19" i="5"/>
  <c r="D16" i="4"/>
  <c r="E19" i="4"/>
  <c r="E20" i="4"/>
  <c r="E21" i="4"/>
  <c r="H19" i="4"/>
  <c r="H20" i="4"/>
  <c r="H21" i="4"/>
  <c r="K19" i="4"/>
  <c r="K20" i="4"/>
  <c r="K21" i="4"/>
  <c r="N19" i="4"/>
  <c r="N20" i="4"/>
  <c r="N21" i="4"/>
  <c r="P9" i="4"/>
  <c r="P16" i="4"/>
  <c r="O20" i="4"/>
  <c r="L20" i="4"/>
  <c r="I20" i="4"/>
  <c r="F20" i="4"/>
  <c r="C20" i="4"/>
  <c r="O19" i="4"/>
  <c r="L19" i="4"/>
  <c r="I19" i="4"/>
  <c r="F19" i="4"/>
  <c r="C19" i="4"/>
  <c r="E18" i="1"/>
  <c r="B17" i="1"/>
  <c r="B18" i="1"/>
  <c r="B19" i="1"/>
  <c r="E17" i="1"/>
  <c r="H17" i="1"/>
  <c r="H18" i="1"/>
  <c r="H19" i="1"/>
  <c r="K17" i="1"/>
  <c r="K18" i="1"/>
  <c r="K19" i="1"/>
  <c r="M15" i="1"/>
  <c r="N17" i="1"/>
  <c r="N18" i="1"/>
  <c r="N19" i="1"/>
  <c r="O18" i="1"/>
  <c r="O17" i="1"/>
  <c r="L18" i="1"/>
  <c r="L17" i="1"/>
  <c r="I18" i="1"/>
  <c r="I17" i="1"/>
  <c r="F18" i="1"/>
  <c r="F17" i="1"/>
  <c r="C17" i="1"/>
  <c r="C18" i="1"/>
  <c r="E19" i="1"/>
  <c r="G7" i="1"/>
  <c r="G12" i="1"/>
  <c r="M13" i="1"/>
  <c r="M7" i="1"/>
  <c r="M12" i="1"/>
  <c r="M9" i="1"/>
  <c r="G17" i="4"/>
  <c r="G15" i="4"/>
  <c r="G13" i="4"/>
  <c r="G9" i="4"/>
  <c r="G7" i="4"/>
  <c r="G16" i="4"/>
  <c r="G10" i="4"/>
  <c r="G8" i="4"/>
  <c r="G6" i="4"/>
  <c r="G14" i="4"/>
  <c r="D8" i="1"/>
  <c r="G8" i="1"/>
  <c r="J15" i="1"/>
  <c r="P7" i="4"/>
  <c r="D7" i="4"/>
  <c r="D9" i="4"/>
  <c r="P13" i="4"/>
  <c r="D13" i="4"/>
  <c r="P15" i="4"/>
  <c r="D15" i="4"/>
  <c r="D17" i="4"/>
  <c r="Q21" i="4"/>
  <c r="R23" i="4"/>
  <c r="J6" i="1"/>
  <c r="P6" i="4"/>
  <c r="P8" i="4"/>
  <c r="D8" i="4"/>
  <c r="P10" i="4"/>
  <c r="D10" i="4"/>
  <c r="P14" i="4"/>
  <c r="D14" i="4"/>
  <c r="J9" i="5"/>
  <c r="G9" i="5"/>
  <c r="J17" i="5"/>
  <c r="P13" i="5"/>
  <c r="M10" i="5"/>
  <c r="M13" i="5"/>
  <c r="M15" i="5"/>
  <c r="M14" i="5"/>
  <c r="J10" i="5"/>
  <c r="J14" i="5"/>
  <c r="J13" i="5"/>
  <c r="J15" i="5"/>
  <c r="P14" i="1"/>
  <c r="P8" i="1"/>
  <c r="P9" i="1"/>
  <c r="P6" i="1"/>
  <c r="P13" i="1"/>
  <c r="P7" i="1"/>
  <c r="P12" i="1"/>
  <c r="P15" i="1"/>
  <c r="J17" i="4"/>
  <c r="J7" i="4"/>
  <c r="J8" i="4"/>
  <c r="J15" i="4"/>
  <c r="M15" i="4"/>
  <c r="R15" i="4"/>
  <c r="J16" i="4"/>
  <c r="J6" i="4"/>
  <c r="J13" i="4"/>
  <c r="J14" i="4"/>
  <c r="M14" i="4"/>
  <c r="R14" i="4"/>
  <c r="J9" i="4"/>
  <c r="J10" i="4"/>
  <c r="G15" i="5"/>
  <c r="J14" i="1"/>
  <c r="J13" i="1"/>
  <c r="J8" i="1"/>
  <c r="J9" i="1"/>
  <c r="J12" i="1"/>
  <c r="J7" i="1"/>
  <c r="D15" i="1"/>
  <c r="D14" i="1"/>
  <c r="Q19" i="1"/>
  <c r="R21" i="1"/>
  <c r="D6" i="1"/>
  <c r="D12" i="1"/>
  <c r="D7" i="1"/>
  <c r="R7" i="1"/>
  <c r="D9" i="1"/>
  <c r="D13" i="1"/>
  <c r="M17" i="4"/>
  <c r="M10" i="4"/>
  <c r="R10" i="4"/>
  <c r="M13" i="4"/>
  <c r="M8" i="4"/>
  <c r="M9" i="4"/>
  <c r="M16" i="4"/>
  <c r="M6" i="4"/>
  <c r="R6" i="4"/>
  <c r="M7" i="4"/>
  <c r="R16" i="4"/>
  <c r="G10" i="5"/>
  <c r="G13" i="1"/>
  <c r="G14" i="1"/>
  <c r="M6" i="1"/>
  <c r="M14" i="1"/>
  <c r="P17" i="4"/>
  <c r="G9" i="1"/>
  <c r="G15" i="1"/>
  <c r="M8" i="1"/>
  <c r="R8" i="1"/>
  <c r="G6" i="1"/>
  <c r="M17" i="5"/>
  <c r="M9" i="5"/>
  <c r="P14" i="5"/>
  <c r="P17" i="5"/>
  <c r="P9" i="5"/>
  <c r="R9" i="5"/>
  <c r="P15" i="5"/>
  <c r="P10" i="5"/>
  <c r="R13" i="5"/>
  <c r="R14" i="1"/>
  <c r="R13" i="1"/>
  <c r="R6" i="1"/>
  <c r="R9" i="4"/>
  <c r="R17" i="4"/>
  <c r="R9" i="1"/>
  <c r="R13" i="4"/>
  <c r="R8" i="4"/>
  <c r="R12" i="1"/>
  <c r="R15" i="1"/>
  <c r="R7" i="4"/>
  <c r="R10" i="5"/>
  <c r="R14" i="5"/>
  <c r="R15" i="5"/>
  <c r="R17" i="5"/>
</calcChain>
</file>

<file path=xl/sharedStrings.xml><?xml version="1.0" encoding="utf-8"?>
<sst xmlns="http://schemas.openxmlformats.org/spreadsheetml/2006/main" count="124" uniqueCount="61">
  <si>
    <t>GLOBAL CLIMATE CHANGE MITIGATION GAME</t>
  </si>
  <si>
    <t>ROUND ONE</t>
  </si>
  <si>
    <t>ROUND TWO</t>
  </si>
  <si>
    <t>ROUND THREE</t>
  </si>
  <si>
    <t>ROUND FOUR</t>
  </si>
  <si>
    <t>ROUND FIVE</t>
  </si>
  <si>
    <t>TOTALS</t>
  </si>
  <si>
    <t>GROUP NAME</t>
  </si>
  <si>
    <t>Green spend</t>
  </si>
  <si>
    <t>Green transfer</t>
  </si>
  <si>
    <t>Net benefit</t>
  </si>
  <si>
    <t>Annex 1 countries (ratio of spend to public good effect: 0.2)</t>
  </si>
  <si>
    <t>USA</t>
  </si>
  <si>
    <t>EU</t>
  </si>
  <si>
    <t>Japan</t>
  </si>
  <si>
    <t>Austrailia</t>
  </si>
  <si>
    <t>Russia</t>
  </si>
  <si>
    <t>Annex 2 countries (ratio of spend to public good effect: 0.5)</t>
  </si>
  <si>
    <t>China</t>
  </si>
  <si>
    <t>India</t>
  </si>
  <si>
    <t>Brazil</t>
  </si>
  <si>
    <t>Indonesia</t>
  </si>
  <si>
    <t>Nigeria</t>
  </si>
  <si>
    <t>Total green spend and transfers (Annex 1)</t>
  </si>
  <si>
    <t>Total green spend and transfers (Annex 2)</t>
  </si>
  <si>
    <t>Public good effect</t>
  </si>
  <si>
    <t>Annex 1: Initial income</t>
  </si>
  <si>
    <t>Total public good benefit target</t>
  </si>
  <si>
    <t>Shortfall</t>
  </si>
  <si>
    <t>Annex 2: Initial income</t>
  </si>
  <si>
    <t>INTERNASJONALE KLIMAFORHANDLINGER!</t>
  </si>
  <si>
    <t>TESTRUNDE</t>
  </si>
  <si>
    <t>RUNDE 1 ( ÅR)</t>
  </si>
  <si>
    <t>RUNDE 2 ( ÅR)</t>
  </si>
  <si>
    <t>RUNDE 3 ( ÅR)</t>
  </si>
  <si>
    <t>RUNDE 5</t>
  </si>
  <si>
    <t>TOTAL</t>
  </si>
  <si>
    <t>LAND</t>
  </si>
  <si>
    <t>Penger brukt på klimatiltak</t>
  </si>
  <si>
    <t>Nytte klimatiltak i eget land</t>
  </si>
  <si>
    <t>Penger brukt på klimatiltak innenlands</t>
  </si>
  <si>
    <t>Klimastøtte til andre land</t>
  </si>
  <si>
    <t>Innenlands samfunns-gevinst</t>
  </si>
  <si>
    <t>Total nytte av klimatiltak i eget land</t>
  </si>
  <si>
    <t>Det globale nord: Forholdet mellom penger brukt på klimatiltak og redusert CO2-utslipp = 0.2</t>
  </si>
  <si>
    <t xml:space="preserve">EU </t>
  </si>
  <si>
    <t>Australia</t>
  </si>
  <si>
    <t>Norge</t>
  </si>
  <si>
    <t>Det globale sør: Forholdet mellom penger brukt på klimatiltak og redusert CO2-utslipp = 0.5</t>
  </si>
  <si>
    <t>Kina</t>
  </si>
  <si>
    <t xml:space="preserve">India </t>
  </si>
  <si>
    <t>Brasil</t>
  </si>
  <si>
    <t xml:space="preserve">Indonesia </t>
  </si>
  <si>
    <t>Totalt beløp brukt på klimatiltak (det globale nord)</t>
  </si>
  <si>
    <t>Totalt beløp brukt på klimatiltak (det globale sør)</t>
  </si>
  <si>
    <t>Redusert CO2-utslipp (CO2-ekvivalenter)</t>
  </si>
  <si>
    <t>Annex 1: Statsbudsjett</t>
  </si>
  <si>
    <t>Internasjonalt mål om redusert CO2-utslipp</t>
  </si>
  <si>
    <t>Avstand fra målet</t>
  </si>
  <si>
    <t>Annex 2: Statsbudsjett</t>
  </si>
  <si>
    <t>Avstand fra utslippsmålet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</si>
</sst>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1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i/>
      <u/>
      <sz val="12"/>
      <name val="Arial"/>
      <family val="2"/>
    </font>
    <font>
      <b/>
      <i/>
      <sz val="10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b/>
      <u/>
      <sz val="10"/>
      <name val="Arial"/>
      <family val="2"/>
    </font>
    <font>
      <sz val="10"/>
      <name val="Arial"/>
    </font>
    <font>
      <b/>
      <sz val="10"/>
      <color indexed="5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6" xfId="0" applyFont="1" applyBorder="1"/>
    <xf numFmtId="0" fontId="2" fillId="0" borderId="7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5" xfId="0" applyFont="1" applyBorder="1" applyAlignment="1">
      <alignment horizontal="right"/>
    </xf>
    <xf numFmtId="0" fontId="2" fillId="0" borderId="1" xfId="0" applyFont="1" applyBorder="1"/>
    <xf numFmtId="0" fontId="2" fillId="0" borderId="10" xfId="0" applyFont="1" applyBorder="1"/>
    <xf numFmtId="0" fontId="2" fillId="0" borderId="0" xfId="0" applyFont="1" applyAlignment="1">
      <alignment horizontal="left" vertical="top" wrapText="1"/>
    </xf>
    <xf numFmtId="0" fontId="7" fillId="0" borderId="0" xfId="0" applyFont="1"/>
    <xf numFmtId="0" fontId="7" fillId="0" borderId="2" xfId="0" applyFont="1" applyBorder="1"/>
    <xf numFmtId="0" fontId="7" fillId="0" borderId="8" xfId="0" applyFont="1" applyBorder="1"/>
    <xf numFmtId="0" fontId="8" fillId="0" borderId="0" xfId="0" applyFont="1"/>
    <xf numFmtId="0" fontId="10" fillId="0" borderId="2" xfId="0" applyFont="1" applyBorder="1" applyAlignment="1">
      <alignment wrapText="1"/>
    </xf>
    <xf numFmtId="0" fontId="3" fillId="2" borderId="0" xfId="0" applyFont="1" applyFill="1"/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center"/>
    </xf>
    <xf numFmtId="0" fontId="2" fillId="3" borderId="3" xfId="0" applyFont="1" applyFill="1" applyBorder="1"/>
    <xf numFmtId="0" fontId="3" fillId="3" borderId="3" xfId="0" applyFont="1" applyFill="1" applyBorder="1"/>
    <xf numFmtId="0" fontId="2" fillId="3" borderId="1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2" fillId="4" borderId="5" xfId="0" applyFont="1" applyFill="1" applyBorder="1"/>
    <xf numFmtId="0" fontId="3" fillId="4" borderId="5" xfId="0" applyFont="1" applyFill="1" applyBorder="1"/>
    <xf numFmtId="0" fontId="2" fillId="4" borderId="0" xfId="0" applyFont="1" applyFill="1"/>
    <xf numFmtId="0" fontId="2" fillId="4" borderId="6" xfId="0" applyFont="1" applyFill="1" applyBorder="1" applyAlignment="1">
      <alignment horizontal="center" wrapText="1"/>
    </xf>
    <xf numFmtId="0" fontId="3" fillId="5" borderId="0" xfId="0" applyFont="1" applyFill="1"/>
    <xf numFmtId="0" fontId="2" fillId="5" borderId="0" xfId="0" applyFont="1" applyFill="1"/>
    <xf numFmtId="0" fontId="2" fillId="2" borderId="11" xfId="0" applyFont="1" applyFill="1" applyBorder="1" applyAlignment="1">
      <alignment wrapText="1"/>
    </xf>
    <xf numFmtId="0" fontId="2" fillId="2" borderId="4" xfId="0" applyFont="1" applyFill="1" applyBorder="1"/>
    <xf numFmtId="0" fontId="2" fillId="2" borderId="12" xfId="0" applyFont="1" applyFill="1" applyBorder="1"/>
    <xf numFmtId="0" fontId="5" fillId="5" borderId="11" xfId="0" applyFont="1" applyFill="1" applyBorder="1"/>
    <xf numFmtId="0" fontId="6" fillId="5" borderId="2" xfId="0" applyFont="1" applyFill="1" applyBorder="1"/>
    <xf numFmtId="0" fontId="6" fillId="5" borderId="6" xfId="0" applyFont="1" applyFill="1" applyBorder="1"/>
    <xf numFmtId="0" fontId="9" fillId="0" borderId="0" xfId="0" applyFont="1"/>
    <xf numFmtId="0" fontId="3" fillId="5" borderId="13" xfId="0" applyFont="1" applyFill="1" applyBorder="1"/>
    <xf numFmtId="0" fontId="3" fillId="5" borderId="14" xfId="0" applyFont="1" applyFill="1" applyBorder="1"/>
    <xf numFmtId="0" fontId="4" fillId="2" borderId="4" xfId="0" applyFont="1" applyFill="1" applyBorder="1" applyAlignment="1">
      <alignment wrapText="1"/>
    </xf>
    <xf numFmtId="0" fontId="5" fillId="6" borderId="11" xfId="0" applyFont="1" applyFill="1" applyBorder="1"/>
    <xf numFmtId="0" fontId="6" fillId="6" borderId="2" xfId="0" applyFont="1" applyFill="1" applyBorder="1"/>
    <xf numFmtId="0" fontId="6" fillId="6" borderId="6" xfId="0" applyFont="1" applyFill="1" applyBorder="1"/>
    <xf numFmtId="0" fontId="3" fillId="6" borderId="13" xfId="0" applyFont="1" applyFill="1" applyBorder="1"/>
    <xf numFmtId="0" fontId="3" fillId="6" borderId="14" xfId="0" applyFont="1" applyFill="1" applyBorder="1"/>
    <xf numFmtId="0" fontId="5" fillId="7" borderId="11" xfId="0" applyFont="1" applyFill="1" applyBorder="1"/>
    <xf numFmtId="0" fontId="6" fillId="7" borderId="2" xfId="0" applyFont="1" applyFill="1" applyBorder="1"/>
    <xf numFmtId="0" fontId="6" fillId="7" borderId="6" xfId="0" applyFont="1" applyFill="1" applyBorder="1"/>
    <xf numFmtId="0" fontId="3" fillId="7" borderId="13" xfId="0" applyFont="1" applyFill="1" applyBorder="1"/>
    <xf numFmtId="0" fontId="3" fillId="7" borderId="14" xfId="0" applyFont="1" applyFill="1" applyBorder="1"/>
    <xf numFmtId="0" fontId="2" fillId="0" borderId="7" xfId="0" applyFont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2" fillId="4" borderId="6" xfId="0" applyFont="1" applyFill="1" applyBorder="1" applyAlignment="1">
      <alignment horizontal="left" wrapText="1"/>
    </xf>
    <xf numFmtId="0" fontId="3" fillId="8" borderId="0" xfId="0" applyFont="1" applyFill="1"/>
    <xf numFmtId="0" fontId="2" fillId="8" borderId="0" xfId="0" applyFont="1" applyFill="1"/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5">
    <dxf>
      <fill>
        <patternFill>
          <bgColor rgb="FFFFCC66"/>
        </patternFill>
      </fill>
    </dxf>
    <dxf>
      <fill>
        <patternFill>
          <bgColor rgb="FFF6AD6A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ABDB7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ABDB77"/>
      <color rgb="FFF6AD6A"/>
      <color rgb="FFFFCC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3"/>
  <sheetViews>
    <sheetView zoomScale="120" zoomScaleNormal="120" workbookViewId="0">
      <selection activeCell="P7" sqref="P7"/>
    </sheetView>
  </sheetViews>
  <sheetFormatPr defaultColWidth="7.5703125" defaultRowHeight="12.75"/>
  <cols>
    <col min="1" max="1" width="36" style="2" customWidth="1"/>
    <col min="2" max="13" width="7.5703125" style="2" customWidth="1"/>
    <col min="14" max="14" width="8.42578125" style="2" customWidth="1"/>
    <col min="15" max="15" width="7.5703125" style="2" customWidth="1"/>
    <col min="16" max="16" width="8.5703125" style="2" customWidth="1"/>
    <col min="17" max="17" width="6.42578125" style="2" customWidth="1"/>
    <col min="18" max="18" width="8.5703125" style="2" customWidth="1"/>
    <col min="19" max="16384" width="7.5703125" style="2"/>
  </cols>
  <sheetData>
    <row r="1" spans="1:18" ht="15.75">
      <c r="A1" s="27" t="s">
        <v>0</v>
      </c>
      <c r="M1" s="1"/>
    </row>
    <row r="2" spans="1:18">
      <c r="I2" s="3"/>
    </row>
    <row r="3" spans="1:18" ht="12.75" customHeight="1">
      <c r="A3" s="44"/>
      <c r="B3" s="28" t="s">
        <v>1</v>
      </c>
      <c r="C3" s="29"/>
      <c r="D3" s="30"/>
      <c r="E3" s="28" t="s">
        <v>2</v>
      </c>
      <c r="F3" s="29"/>
      <c r="G3" s="30"/>
      <c r="H3" s="28" t="s">
        <v>3</v>
      </c>
      <c r="I3" s="29"/>
      <c r="J3" s="30"/>
      <c r="K3" s="28" t="s">
        <v>4</v>
      </c>
      <c r="L3" s="29"/>
      <c r="M3" s="30"/>
      <c r="N3" s="28" t="s">
        <v>5</v>
      </c>
      <c r="O3" s="29"/>
      <c r="P3" s="29"/>
      <c r="Q3" s="28" t="s">
        <v>6</v>
      </c>
      <c r="R3" s="31"/>
    </row>
    <row r="4" spans="1:18" s="6" customFormat="1" ht="24.75" customHeight="1">
      <c r="A4" s="42" t="s">
        <v>7</v>
      </c>
      <c r="B4" s="34" t="s">
        <v>8</v>
      </c>
      <c r="C4" s="26" t="s">
        <v>9</v>
      </c>
      <c r="D4" s="35" t="s">
        <v>10</v>
      </c>
      <c r="E4" s="34" t="s">
        <v>8</v>
      </c>
      <c r="F4" s="26" t="s">
        <v>9</v>
      </c>
      <c r="G4" s="35" t="s">
        <v>10</v>
      </c>
      <c r="H4" s="34" t="s">
        <v>8</v>
      </c>
      <c r="I4" s="5" t="s">
        <v>9</v>
      </c>
      <c r="J4" s="35" t="s">
        <v>10</v>
      </c>
      <c r="K4" s="34" t="s">
        <v>8</v>
      </c>
      <c r="L4" s="5" t="s">
        <v>9</v>
      </c>
      <c r="M4" s="35" t="s">
        <v>10</v>
      </c>
      <c r="N4" s="34" t="s">
        <v>8</v>
      </c>
      <c r="O4" s="5" t="s">
        <v>9</v>
      </c>
      <c r="P4" s="35" t="s">
        <v>10</v>
      </c>
      <c r="Q4" s="4"/>
      <c r="R4" s="39" t="s">
        <v>10</v>
      </c>
    </row>
    <row r="5" spans="1:18" ht="45">
      <c r="A5" s="51" t="s">
        <v>11</v>
      </c>
      <c r="B5" s="32"/>
      <c r="D5" s="36"/>
      <c r="E5" s="32"/>
      <c r="G5" s="36"/>
      <c r="H5" s="32"/>
      <c r="J5" s="36"/>
      <c r="K5" s="32"/>
      <c r="M5" s="36"/>
      <c r="N5" s="32"/>
      <c r="P5" s="38"/>
      <c r="Q5" s="7"/>
      <c r="R5" s="36"/>
    </row>
    <row r="6" spans="1:18" ht="15.75">
      <c r="A6" s="43" t="s">
        <v>12</v>
      </c>
      <c r="B6" s="33">
        <v>0</v>
      </c>
      <c r="C6" s="1">
        <v>-10</v>
      </c>
      <c r="D6" s="37">
        <f>$B$23+B6+C6+B$21</f>
        <v>105.7</v>
      </c>
      <c r="E6" s="33">
        <v>-15</v>
      </c>
      <c r="F6" s="1">
        <v>-30</v>
      </c>
      <c r="G6" s="37">
        <f>$B$23+E6+F6+E$21</f>
        <v>97</v>
      </c>
      <c r="H6" s="33"/>
      <c r="I6" s="1">
        <v>0</v>
      </c>
      <c r="J6" s="37">
        <f>$B$23+H6+I6+H$21</f>
        <v>142</v>
      </c>
      <c r="K6" s="33"/>
      <c r="L6" s="1">
        <v>-10</v>
      </c>
      <c r="M6" s="37">
        <f>$B$23+K6+L6+K$21</f>
        <v>112</v>
      </c>
      <c r="N6" s="33"/>
      <c r="O6" s="1"/>
      <c r="P6" s="37">
        <f>$B$23+N6+O6+N$21</f>
        <v>100</v>
      </c>
      <c r="Q6" s="9"/>
      <c r="R6" s="37">
        <f>D6+G6+J6+M6+P6</f>
        <v>556.70000000000005</v>
      </c>
    </row>
    <row r="7" spans="1:18" ht="15.75">
      <c r="A7" s="43" t="s">
        <v>13</v>
      </c>
      <c r="B7" s="33">
        <v>-1</v>
      </c>
      <c r="C7" s="1">
        <v>-10</v>
      </c>
      <c r="D7" s="37">
        <f>$B$23+B7+C7+B$21</f>
        <v>104.7</v>
      </c>
      <c r="E7" s="33"/>
      <c r="F7" s="1">
        <v>-10</v>
      </c>
      <c r="G7" s="37">
        <f>$B$23+E7+F7+E$21</f>
        <v>132</v>
      </c>
      <c r="H7" s="33"/>
      <c r="I7" s="1">
        <v>-5</v>
      </c>
      <c r="J7" s="37">
        <f>$B$23+H7+I7+H$21</f>
        <v>137</v>
      </c>
      <c r="K7" s="33"/>
      <c r="L7" s="1"/>
      <c r="M7" s="37">
        <f>$B$23+K7+L7+K$21</f>
        <v>122</v>
      </c>
      <c r="N7" s="33"/>
      <c r="O7" s="1"/>
      <c r="P7" s="37">
        <f>$B$23+N7+O7+N$21</f>
        <v>100</v>
      </c>
      <c r="Q7" s="9"/>
      <c r="R7" s="37">
        <f>D7+G7+J7+M7+P7</f>
        <v>595.70000000000005</v>
      </c>
    </row>
    <row r="8" spans="1:18" ht="15.75">
      <c r="A8" s="43" t="s">
        <v>14</v>
      </c>
      <c r="B8" s="33">
        <v>0</v>
      </c>
      <c r="C8" s="1">
        <v>-10</v>
      </c>
      <c r="D8" s="37">
        <f>$B$23+B8+C8+B$21</f>
        <v>105.7</v>
      </c>
      <c r="E8" s="33"/>
      <c r="F8" s="1">
        <v>-10</v>
      </c>
      <c r="G8" s="37">
        <f>$B$23+E8+F8+E$21</f>
        <v>132</v>
      </c>
      <c r="H8" s="33"/>
      <c r="I8" s="1">
        <v>-70</v>
      </c>
      <c r="J8" s="37">
        <f>$B$23+H8+I8+H$21</f>
        <v>72</v>
      </c>
      <c r="K8" s="33"/>
      <c r="L8" s="1">
        <v>-15</v>
      </c>
      <c r="M8" s="37">
        <f>$B$23+K8+L8+K$21</f>
        <v>107</v>
      </c>
      <c r="N8" s="33"/>
      <c r="O8" s="1"/>
      <c r="P8" s="37">
        <f>$B$23+N8+O8+N$21</f>
        <v>100</v>
      </c>
      <c r="Q8" s="9"/>
      <c r="R8" s="37">
        <f>D8+G8+J8+M8+P8</f>
        <v>516.70000000000005</v>
      </c>
    </row>
    <row r="9" spans="1:18" ht="15.75">
      <c r="A9" s="43" t="s">
        <v>15</v>
      </c>
      <c r="B9" s="33">
        <v>0</v>
      </c>
      <c r="C9" s="1">
        <v>-5</v>
      </c>
      <c r="D9" s="37">
        <f>$B$23+B9+C9+B$21</f>
        <v>110.7</v>
      </c>
      <c r="E9" s="33"/>
      <c r="F9" s="1">
        <v>-30</v>
      </c>
      <c r="G9" s="37">
        <f>$B$23+E9+F9+E$21</f>
        <v>112</v>
      </c>
      <c r="H9" s="33"/>
      <c r="I9" s="1">
        <v>-21</v>
      </c>
      <c r="J9" s="37">
        <f>$B$23+H9+I9+H$21</f>
        <v>121</v>
      </c>
      <c r="K9" s="33">
        <v>-20</v>
      </c>
      <c r="L9" s="1">
        <v>10</v>
      </c>
      <c r="M9" s="37">
        <f>$B$23+K9+L9+K$21</f>
        <v>112</v>
      </c>
      <c r="N9" s="33"/>
      <c r="O9" s="1"/>
      <c r="P9" s="37">
        <f>$B$23+N9+O9+N$21</f>
        <v>100</v>
      </c>
      <c r="Q9" s="9"/>
      <c r="R9" s="37">
        <f>D9+G9+J9+M9+P9</f>
        <v>555.70000000000005</v>
      </c>
    </row>
    <row r="10" spans="1:18" ht="15.75">
      <c r="A10" s="43" t="s">
        <v>16</v>
      </c>
      <c r="B10" s="33">
        <v>0</v>
      </c>
      <c r="C10" s="1">
        <v>-5</v>
      </c>
      <c r="D10" s="37">
        <f>$B$23+B10+C10+B$21</f>
        <v>110.7</v>
      </c>
      <c r="E10" s="33"/>
      <c r="F10" s="1">
        <v>-10</v>
      </c>
      <c r="G10" s="37">
        <f>$B$23+E10+F10+E$21</f>
        <v>132</v>
      </c>
      <c r="H10" s="33"/>
      <c r="I10" s="1">
        <v>-10</v>
      </c>
      <c r="J10" s="37">
        <f>$B$23+H10+I10+H$21</f>
        <v>132</v>
      </c>
      <c r="K10" s="33"/>
      <c r="L10" s="1">
        <v>-10</v>
      </c>
      <c r="M10" s="37">
        <f>$B$23+K10+L10+K$21</f>
        <v>112</v>
      </c>
      <c r="N10" s="33"/>
      <c r="O10" s="1"/>
      <c r="P10" s="37">
        <f>$B$23+N10+O10+N$21</f>
        <v>100</v>
      </c>
      <c r="Q10" s="9"/>
      <c r="R10" s="37">
        <f>D10+G10+J10+M10+P10</f>
        <v>586.70000000000005</v>
      </c>
    </row>
    <row r="11" spans="1:18" ht="15.75">
      <c r="A11" s="43"/>
      <c r="B11" s="33"/>
      <c r="C11" s="1"/>
      <c r="D11" s="37"/>
      <c r="E11" s="33"/>
      <c r="F11" s="1"/>
      <c r="G11" s="37"/>
      <c r="H11" s="33"/>
      <c r="I11" s="1"/>
      <c r="J11" s="37"/>
      <c r="K11" s="33"/>
      <c r="L11" s="1"/>
      <c r="M11" s="37"/>
      <c r="N11" s="33"/>
      <c r="O11" s="1"/>
      <c r="P11" s="37"/>
      <c r="Q11" s="9"/>
      <c r="R11" s="37"/>
    </row>
    <row r="12" spans="1:18" ht="45.75">
      <c r="A12" s="51" t="s">
        <v>17</v>
      </c>
      <c r="B12" s="33"/>
      <c r="C12" s="1"/>
      <c r="D12" s="37"/>
      <c r="E12" s="33"/>
      <c r="F12" s="1"/>
      <c r="G12" s="37"/>
      <c r="H12" s="33"/>
      <c r="I12" s="1"/>
      <c r="J12" s="37"/>
      <c r="K12" s="33"/>
      <c r="L12" s="1"/>
      <c r="M12" s="37"/>
      <c r="N12" s="33"/>
      <c r="O12" s="1"/>
      <c r="P12" s="37"/>
      <c r="Q12" s="9"/>
      <c r="R12" s="37"/>
    </row>
    <row r="13" spans="1:18" ht="15.75">
      <c r="A13" s="43" t="s">
        <v>18</v>
      </c>
      <c r="B13" s="33">
        <v>-15</v>
      </c>
      <c r="C13" s="1">
        <v>10</v>
      </c>
      <c r="D13" s="37">
        <f>$B$24+B13+C13+B$21</f>
        <v>50.7</v>
      </c>
      <c r="E13" s="33">
        <v>-20</v>
      </c>
      <c r="F13" s="1">
        <v>30</v>
      </c>
      <c r="G13" s="37">
        <f>--$B$24+E13+F13+E$21</f>
        <v>92</v>
      </c>
      <c r="H13" s="33">
        <v>-30</v>
      </c>
      <c r="I13" s="1">
        <v>5</v>
      </c>
      <c r="J13" s="37">
        <f>$B$24+H13+I13+H$21</f>
        <v>57</v>
      </c>
      <c r="K13" s="33">
        <v>-1</v>
      </c>
      <c r="L13" s="1">
        <v>10</v>
      </c>
      <c r="M13" s="37">
        <f>$B$24+K13+L13+K$21</f>
        <v>71</v>
      </c>
      <c r="N13" s="33"/>
      <c r="O13" s="1"/>
      <c r="P13" s="37">
        <f>$B$24+N13+O13+N$21</f>
        <v>40</v>
      </c>
      <c r="Q13" s="9"/>
      <c r="R13" s="37">
        <f>D13+G13+J13+M13+P13</f>
        <v>310.7</v>
      </c>
    </row>
    <row r="14" spans="1:18" ht="15.75">
      <c r="A14" s="43" t="s">
        <v>19</v>
      </c>
      <c r="B14" s="33">
        <v>-10</v>
      </c>
      <c r="C14" s="1"/>
      <c r="D14" s="37">
        <f>$B$24+B14+C14+B$21</f>
        <v>45.7</v>
      </c>
      <c r="E14" s="33">
        <v>-5</v>
      </c>
      <c r="F14" s="1">
        <v>10</v>
      </c>
      <c r="G14" s="37">
        <f>$B$24+E14+F14+E$21</f>
        <v>87</v>
      </c>
      <c r="H14" s="33">
        <v>-15</v>
      </c>
      <c r="I14" s="1">
        <v>15</v>
      </c>
      <c r="J14" s="37">
        <f>$B$24+H14+I14+H$21</f>
        <v>82</v>
      </c>
      <c r="K14" s="33"/>
      <c r="L14" s="1"/>
      <c r="M14" s="37">
        <f>$B$24+K14+L14+K$21</f>
        <v>62</v>
      </c>
      <c r="N14" s="33"/>
      <c r="O14" s="1"/>
      <c r="P14" s="37">
        <f>$B$24+N14+O14+N$21</f>
        <v>40</v>
      </c>
      <c r="Q14" s="9"/>
      <c r="R14" s="37">
        <f>D14+G14+J14+M14+P14</f>
        <v>316.7</v>
      </c>
    </row>
    <row r="15" spans="1:18" ht="15.75">
      <c r="A15" s="43" t="s">
        <v>20</v>
      </c>
      <c r="B15" s="33">
        <v>0</v>
      </c>
      <c r="C15" s="1">
        <v>20</v>
      </c>
      <c r="D15" s="37">
        <f>$B$24+B15+C15+B$21</f>
        <v>75.7</v>
      </c>
      <c r="E15" s="33">
        <v>-25</v>
      </c>
      <c r="F15" s="1">
        <v>15</v>
      </c>
      <c r="G15" s="37">
        <f>$B$24+E15+F15+E$21</f>
        <v>72</v>
      </c>
      <c r="H15" s="33">
        <v>-10</v>
      </c>
      <c r="I15" s="1">
        <v>16</v>
      </c>
      <c r="J15" s="37">
        <f>$B$24+H15+I15+H$21</f>
        <v>88</v>
      </c>
      <c r="K15" s="33">
        <v>-10</v>
      </c>
      <c r="L15" s="1">
        <v>15</v>
      </c>
      <c r="M15" s="37">
        <f>$B$24+K15+L15+K$21</f>
        <v>67</v>
      </c>
      <c r="N15" s="33"/>
      <c r="O15" s="1"/>
      <c r="P15" s="37">
        <f>$B$24+N15+O15+N$21</f>
        <v>40</v>
      </c>
      <c r="Q15" s="9"/>
      <c r="R15" s="37">
        <f>D15+G15+J15+M15+P15</f>
        <v>342.7</v>
      </c>
    </row>
    <row r="16" spans="1:18" ht="15.75">
      <c r="A16" s="43" t="s">
        <v>21</v>
      </c>
      <c r="B16" s="33">
        <v>0</v>
      </c>
      <c r="C16" s="1">
        <v>5</v>
      </c>
      <c r="D16" s="37">
        <f>$B$24+B16+C16+B$21</f>
        <v>60.7</v>
      </c>
      <c r="E16" s="33">
        <v>-20</v>
      </c>
      <c r="F16" s="1">
        <v>25</v>
      </c>
      <c r="G16" s="37">
        <f>$B$24+E16+F16+E$21</f>
        <v>87</v>
      </c>
      <c r="H16" s="33">
        <v>-20</v>
      </c>
      <c r="I16" s="1">
        <v>60</v>
      </c>
      <c r="J16" s="37">
        <f>$B$24+H16+I16+H$21</f>
        <v>122</v>
      </c>
      <c r="K16" s="33">
        <v>-25</v>
      </c>
      <c r="L16" s="1"/>
      <c r="M16" s="37">
        <f>$B$24+K16+L16+K$21</f>
        <v>37</v>
      </c>
      <c r="N16" s="33"/>
      <c r="O16" s="1"/>
      <c r="P16" s="37">
        <f>$B$24+N16+O16+N$21</f>
        <v>40</v>
      </c>
      <c r="Q16" s="9"/>
      <c r="R16" s="37">
        <f>D16+G16+J16+M16+P16</f>
        <v>346.7</v>
      </c>
    </row>
    <row r="17" spans="1:18" ht="15.75">
      <c r="A17" s="43" t="s">
        <v>22</v>
      </c>
      <c r="B17" s="33">
        <v>-6</v>
      </c>
      <c r="C17" s="1">
        <v>5</v>
      </c>
      <c r="D17" s="37">
        <f>$B$24+B17+C17+B$21</f>
        <v>54.7</v>
      </c>
      <c r="E17" s="33">
        <v>-8</v>
      </c>
      <c r="F17" s="1">
        <v>10</v>
      </c>
      <c r="G17" s="37">
        <f>$B$24+E17+F17+E$21</f>
        <v>84</v>
      </c>
      <c r="H17" s="33">
        <v>-9</v>
      </c>
      <c r="I17" s="1">
        <v>10</v>
      </c>
      <c r="J17" s="37">
        <f>$B$24+H17+I17+H$21</f>
        <v>83</v>
      </c>
      <c r="K17" s="33"/>
      <c r="L17" s="1"/>
      <c r="M17" s="37">
        <f>$B$24+K17+L17+K$21</f>
        <v>62</v>
      </c>
      <c r="N17" s="33"/>
      <c r="O17" s="1"/>
      <c r="P17" s="37">
        <f>$B$24+N17+O17+N$21</f>
        <v>40</v>
      </c>
      <c r="Q17" s="9"/>
      <c r="R17" s="37">
        <f>D17+G17+J17+M17+P17</f>
        <v>323.7</v>
      </c>
    </row>
    <row r="18" spans="1:18" ht="15.75">
      <c r="A18" s="8"/>
      <c r="B18" s="9"/>
      <c r="C18" s="1"/>
      <c r="D18" s="10"/>
      <c r="E18" s="11"/>
      <c r="F18" s="12"/>
      <c r="G18" s="13"/>
      <c r="H18" s="11"/>
      <c r="I18" s="12"/>
      <c r="J18" s="13"/>
      <c r="K18" s="11"/>
      <c r="L18" s="12"/>
      <c r="M18" s="13"/>
      <c r="N18" s="11"/>
      <c r="O18" s="12"/>
      <c r="P18" s="12"/>
      <c r="Q18" s="11"/>
      <c r="R18" s="13"/>
    </row>
    <row r="19" spans="1:18" ht="15.75">
      <c r="A19" s="14" t="s">
        <v>23</v>
      </c>
      <c r="B19" s="15">
        <f>-SUM(B6:B10)</f>
        <v>1</v>
      </c>
      <c r="C19" s="24">
        <f>SUM(C6:C10)</f>
        <v>-40</v>
      </c>
      <c r="D19" s="17"/>
      <c r="E19" s="22">
        <f>-SUM(E6:E10)</f>
        <v>15</v>
      </c>
      <c r="F19" s="16">
        <f>SUM(F6:F10)</f>
        <v>-90</v>
      </c>
      <c r="G19" s="10"/>
      <c r="H19" s="1">
        <f>-SUM(H6:H10)</f>
        <v>0</v>
      </c>
      <c r="I19" s="24">
        <f>SUM(I6:I10)</f>
        <v>-106</v>
      </c>
      <c r="J19" s="10"/>
      <c r="K19" s="9">
        <f>-SUM(K6:K10)</f>
        <v>20</v>
      </c>
      <c r="L19" s="24">
        <f>SUM(L6:L10)</f>
        <v>-25</v>
      </c>
      <c r="M19" s="10"/>
      <c r="N19" s="9">
        <f>-SUM(N6:N10)</f>
        <v>0</v>
      </c>
      <c r="O19" s="24">
        <f>SUM(O6:O10)</f>
        <v>0</v>
      </c>
      <c r="P19" s="10"/>
      <c r="Q19" s="9"/>
      <c r="R19" s="18"/>
    </row>
    <row r="20" spans="1:18" ht="15.75">
      <c r="A20" s="19" t="s">
        <v>24</v>
      </c>
      <c r="B20" s="11">
        <f>-SUM(B13:B18)</f>
        <v>31</v>
      </c>
      <c r="C20" s="23">
        <f>SUM(C13:C18)</f>
        <v>40</v>
      </c>
      <c r="D20" s="13"/>
      <c r="E20" s="23">
        <f>-SUM(E13:E18)</f>
        <v>78</v>
      </c>
      <c r="F20" s="12">
        <f>SUM(F13:F18)</f>
        <v>90</v>
      </c>
      <c r="G20" s="13"/>
      <c r="H20" s="12">
        <f>-SUM(H13:H18)</f>
        <v>84</v>
      </c>
      <c r="I20" s="23">
        <f>SUM(I13:I18)</f>
        <v>106</v>
      </c>
      <c r="J20" s="13"/>
      <c r="K20" s="11">
        <f>-SUM(K13:K18)</f>
        <v>36</v>
      </c>
      <c r="L20" s="23">
        <f>SUM(L13:L18)</f>
        <v>25</v>
      </c>
      <c r="M20" s="13"/>
      <c r="N20" s="11">
        <f>-SUM(N13:N18)</f>
        <v>0</v>
      </c>
      <c r="O20" s="23">
        <f>SUM(O13:O18)</f>
        <v>0</v>
      </c>
      <c r="P20" s="13"/>
      <c r="Q20" s="9"/>
      <c r="R20" s="18"/>
    </row>
    <row r="21" spans="1:18" ht="15.75">
      <c r="A21" s="45" t="s">
        <v>25</v>
      </c>
      <c r="B21" s="46">
        <f>(B19/5)+(B20/2)</f>
        <v>15.7</v>
      </c>
      <c r="C21" s="46"/>
      <c r="D21" s="47"/>
      <c r="E21" s="46">
        <f>(E19/5)+(E20/2)</f>
        <v>42</v>
      </c>
      <c r="F21" s="46"/>
      <c r="G21" s="47"/>
      <c r="H21" s="46">
        <f>(H19/5)+(H20/2)</f>
        <v>42</v>
      </c>
      <c r="I21" s="46"/>
      <c r="J21" s="47"/>
      <c r="K21" s="46">
        <f>(K19/5)+(K20/2)</f>
        <v>22</v>
      </c>
      <c r="L21" s="46"/>
      <c r="M21" s="47"/>
      <c r="N21" s="46">
        <f>(N19/5)+(N20/2)</f>
        <v>0</v>
      </c>
      <c r="O21" s="46"/>
      <c r="P21" s="47"/>
      <c r="Q21" s="49">
        <f>B21+E21+H21+K21+N21</f>
        <v>121.7</v>
      </c>
      <c r="R21" s="50"/>
    </row>
    <row r="22" spans="1:18" ht="15.75">
      <c r="I22" s="1"/>
      <c r="J22" s="1"/>
      <c r="K22" s="1"/>
      <c r="L22" s="1"/>
      <c r="M22" s="1"/>
      <c r="N22" s="1"/>
      <c r="P22" s="48"/>
    </row>
    <row r="23" spans="1:18" ht="15.75">
      <c r="A23" s="2" t="s">
        <v>26</v>
      </c>
      <c r="B23" s="20">
        <v>100</v>
      </c>
      <c r="I23" s="40" t="s">
        <v>27</v>
      </c>
      <c r="J23" s="41"/>
      <c r="K23" s="40"/>
      <c r="L23" s="40"/>
      <c r="M23" s="40"/>
      <c r="N23" s="40"/>
      <c r="O23" s="40">
        <v>80</v>
      </c>
      <c r="P23" s="40" t="s">
        <v>28</v>
      </c>
      <c r="Q23" s="41"/>
      <c r="R23" s="40">
        <f>O23-Q21</f>
        <v>-41.7</v>
      </c>
    </row>
    <row r="24" spans="1:18">
      <c r="A24" s="2" t="s">
        <v>29</v>
      </c>
      <c r="B24" s="20">
        <v>40</v>
      </c>
    </row>
    <row r="26" spans="1:18">
      <c r="A26" s="25"/>
    </row>
    <row r="27" spans="1:18" s="21" customFormat="1" ht="25.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</row>
    <row r="28" spans="1:18" ht="27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spans="1:18" ht="28.5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</row>
    <row r="30" spans="1:18" ht="26.2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</row>
    <row r="31" spans="1:18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</row>
    <row r="32" spans="1:18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</row>
    <row r="33" spans="1:18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</row>
  </sheetData>
  <mergeCells count="7">
    <mergeCell ref="A33:R33"/>
    <mergeCell ref="A27:R27"/>
    <mergeCell ref="A28:R28"/>
    <mergeCell ref="A29:R29"/>
    <mergeCell ref="A30:R30"/>
    <mergeCell ref="A31:R31"/>
    <mergeCell ref="A32:R32"/>
  </mergeCells>
  <pageMargins left="0.75" right="0.75" top="1" bottom="1" header="0.5" footer="0.5"/>
  <pageSetup paperSize="9" scale="95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1"/>
  <sheetViews>
    <sheetView zoomScale="120" zoomScaleNormal="120" workbookViewId="0">
      <selection activeCell="O21" sqref="O21"/>
    </sheetView>
  </sheetViews>
  <sheetFormatPr defaultColWidth="7.5703125" defaultRowHeight="12.75"/>
  <cols>
    <col min="1" max="1" width="39.5703125" style="2" customWidth="1"/>
    <col min="2" max="2" width="10" style="2" customWidth="1"/>
    <col min="3" max="13" width="7.5703125" style="2" customWidth="1"/>
    <col min="14" max="14" width="8.42578125" style="2" customWidth="1"/>
    <col min="15" max="15" width="7.5703125" style="2" customWidth="1"/>
    <col min="16" max="16" width="8.5703125" style="2" customWidth="1"/>
    <col min="17" max="17" width="6.42578125" style="2" customWidth="1"/>
    <col min="18" max="18" width="8.5703125" style="2" customWidth="1"/>
    <col min="19" max="16384" width="7.5703125" style="2"/>
  </cols>
  <sheetData>
    <row r="1" spans="1:18" ht="15.75">
      <c r="A1" s="27" t="s">
        <v>0</v>
      </c>
      <c r="M1" s="1"/>
    </row>
    <row r="2" spans="1:18">
      <c r="I2" s="3"/>
    </row>
    <row r="3" spans="1:18" ht="12.75" customHeight="1">
      <c r="A3" s="44"/>
      <c r="B3" s="28" t="s">
        <v>1</v>
      </c>
      <c r="C3" s="29"/>
      <c r="D3" s="30"/>
      <c r="E3" s="28" t="s">
        <v>2</v>
      </c>
      <c r="F3" s="29"/>
      <c r="G3" s="30"/>
      <c r="H3" s="28" t="s">
        <v>3</v>
      </c>
      <c r="I3" s="29"/>
      <c r="J3" s="30"/>
      <c r="K3" s="28" t="s">
        <v>4</v>
      </c>
      <c r="L3" s="29"/>
      <c r="M3" s="30"/>
      <c r="N3" s="28" t="s">
        <v>5</v>
      </c>
      <c r="O3" s="29"/>
      <c r="P3" s="29"/>
      <c r="Q3" s="28" t="s">
        <v>6</v>
      </c>
      <c r="R3" s="31"/>
    </row>
    <row r="4" spans="1:18" s="6" customFormat="1" ht="24.75" customHeight="1">
      <c r="A4" s="42" t="s">
        <v>7</v>
      </c>
      <c r="B4" s="34" t="s">
        <v>8</v>
      </c>
      <c r="C4" s="26" t="s">
        <v>9</v>
      </c>
      <c r="D4" s="35" t="s">
        <v>10</v>
      </c>
      <c r="E4" s="34" t="s">
        <v>8</v>
      </c>
      <c r="F4" s="26" t="s">
        <v>9</v>
      </c>
      <c r="G4" s="35" t="s">
        <v>10</v>
      </c>
      <c r="H4" s="34" t="s">
        <v>8</v>
      </c>
      <c r="I4" s="5" t="s">
        <v>9</v>
      </c>
      <c r="J4" s="35" t="s">
        <v>10</v>
      </c>
      <c r="K4" s="34" t="s">
        <v>8</v>
      </c>
      <c r="L4" s="5" t="s">
        <v>9</v>
      </c>
      <c r="M4" s="35" t="s">
        <v>10</v>
      </c>
      <c r="N4" s="34" t="s">
        <v>8</v>
      </c>
      <c r="O4" s="5" t="s">
        <v>9</v>
      </c>
      <c r="P4" s="35" t="s">
        <v>10</v>
      </c>
      <c r="Q4" s="4"/>
      <c r="R4" s="64" t="s">
        <v>10</v>
      </c>
    </row>
    <row r="5" spans="1:18" ht="30">
      <c r="A5" s="51" t="s">
        <v>11</v>
      </c>
      <c r="B5" s="32"/>
      <c r="D5" s="36"/>
      <c r="E5" s="32"/>
      <c r="G5" s="36"/>
      <c r="H5" s="32"/>
      <c r="J5" s="36"/>
      <c r="K5" s="32"/>
      <c r="M5" s="36"/>
      <c r="N5" s="32"/>
      <c r="P5" s="38"/>
      <c r="Q5" s="7"/>
      <c r="R5" s="36"/>
    </row>
    <row r="6" spans="1:18" ht="15.75">
      <c r="A6" s="43" t="s">
        <v>12</v>
      </c>
      <c r="B6" s="33"/>
      <c r="C6" s="1"/>
      <c r="D6" s="37">
        <f>$B$21+B6+C6+B$19</f>
        <v>100</v>
      </c>
      <c r="E6" s="33"/>
      <c r="F6" s="1"/>
      <c r="G6" s="37">
        <f>$B$21+E6+F6+E$19</f>
        <v>100</v>
      </c>
      <c r="H6" s="33"/>
      <c r="I6" s="1"/>
      <c r="J6" s="37">
        <f>$B$21+H6+I6+H$19</f>
        <v>100</v>
      </c>
      <c r="K6" s="33"/>
      <c r="L6" s="1"/>
      <c r="M6" s="37">
        <f>$B$21+K6+L6+K$19</f>
        <v>100</v>
      </c>
      <c r="N6" s="33"/>
      <c r="O6" s="1"/>
      <c r="P6" s="37">
        <f>$B$21+N6+O6+N$19</f>
        <v>100</v>
      </c>
      <c r="Q6" s="9"/>
      <c r="R6" s="37">
        <f>D6+G6+J6+M6+P6</f>
        <v>500</v>
      </c>
    </row>
    <row r="7" spans="1:18" ht="15.75">
      <c r="A7" s="43" t="s">
        <v>13</v>
      </c>
      <c r="B7" s="33"/>
      <c r="C7" s="1"/>
      <c r="D7" s="37">
        <f>$B$21+B7+C7+B$19</f>
        <v>100</v>
      </c>
      <c r="E7" s="33"/>
      <c r="F7" s="1"/>
      <c r="G7" s="37">
        <f>$B$21+E7+F7+E$19</f>
        <v>100</v>
      </c>
      <c r="H7" s="33"/>
      <c r="I7" s="1"/>
      <c r="J7" s="37">
        <f>$B$21+H7+I7+H$19</f>
        <v>100</v>
      </c>
      <c r="K7" s="33"/>
      <c r="L7" s="1"/>
      <c r="M7" s="37">
        <f>$B$21+K7+L7+K$19</f>
        <v>100</v>
      </c>
      <c r="N7" s="33"/>
      <c r="O7" s="1"/>
      <c r="P7" s="37">
        <f>$B$21+N7+O7+N$19</f>
        <v>100</v>
      </c>
      <c r="Q7" s="9"/>
      <c r="R7" s="37">
        <f>D7+G7+J7+M7+P7</f>
        <v>500</v>
      </c>
    </row>
    <row r="8" spans="1:18" ht="15.75">
      <c r="A8" s="43" t="s">
        <v>15</v>
      </c>
      <c r="B8" s="33"/>
      <c r="C8" s="1"/>
      <c r="D8" s="37">
        <f>$B$21+B8+C8+B$19</f>
        <v>100</v>
      </c>
      <c r="E8" s="33"/>
      <c r="F8" s="1"/>
      <c r="G8" s="37">
        <f>$B$21+E8+F8+E$19</f>
        <v>100</v>
      </c>
      <c r="H8" s="33"/>
      <c r="I8" s="1"/>
      <c r="J8" s="37">
        <f>$B$21+H8+I8+H$19</f>
        <v>100</v>
      </c>
      <c r="K8" s="33"/>
      <c r="L8" s="1"/>
      <c r="M8" s="37">
        <f>$B$21+K8+L8+K$19</f>
        <v>100</v>
      </c>
      <c r="N8" s="33"/>
      <c r="O8" s="1"/>
      <c r="P8" s="37">
        <f>$B$21+N8+O8+N$19</f>
        <v>100</v>
      </c>
      <c r="Q8" s="9"/>
      <c r="R8" s="37">
        <f>D8+G8+J8+M8+P8</f>
        <v>500</v>
      </c>
    </row>
    <row r="9" spans="1:18" ht="15.75">
      <c r="A9" s="43" t="s">
        <v>16</v>
      </c>
      <c r="B9" s="33"/>
      <c r="C9" s="1"/>
      <c r="D9" s="37">
        <f>$B$21+B9+C9+B$19</f>
        <v>100</v>
      </c>
      <c r="E9" s="33"/>
      <c r="F9" s="1"/>
      <c r="G9" s="37">
        <f>$B$21+E9+F9+E$19</f>
        <v>100</v>
      </c>
      <c r="H9" s="33"/>
      <c r="I9" s="1"/>
      <c r="J9" s="37">
        <f>$B$21+H9+I9+H$19</f>
        <v>100</v>
      </c>
      <c r="K9" s="33"/>
      <c r="L9" s="1"/>
      <c r="M9" s="37">
        <f>$B$21+K9+L9+K$19</f>
        <v>100</v>
      </c>
      <c r="N9" s="33"/>
      <c r="O9" s="1"/>
      <c r="P9" s="37">
        <f>$B$21+N9+O9+N$19</f>
        <v>100</v>
      </c>
      <c r="Q9" s="9"/>
      <c r="R9" s="37">
        <f>D9+G9+J9+M9+P9</f>
        <v>500</v>
      </c>
    </row>
    <row r="10" spans="1:18" ht="15.75">
      <c r="A10" s="43"/>
      <c r="B10" s="33"/>
      <c r="C10" s="1"/>
      <c r="D10" s="37"/>
      <c r="E10" s="33"/>
      <c r="F10" s="1"/>
      <c r="G10" s="37"/>
      <c r="H10" s="33"/>
      <c r="I10" s="1"/>
      <c r="J10" s="37"/>
      <c r="K10" s="33"/>
      <c r="L10" s="1"/>
      <c r="M10" s="37"/>
      <c r="N10" s="33"/>
      <c r="O10" s="1"/>
      <c r="P10" s="37"/>
      <c r="Q10" s="9"/>
      <c r="R10" s="37"/>
    </row>
    <row r="11" spans="1:18" ht="30.75">
      <c r="A11" s="51" t="s">
        <v>17</v>
      </c>
      <c r="B11" s="33"/>
      <c r="C11" s="1"/>
      <c r="D11" s="37"/>
      <c r="E11" s="33"/>
      <c r="F11" s="1"/>
      <c r="G11" s="37"/>
      <c r="H11" s="33"/>
      <c r="I11" s="1"/>
      <c r="J11" s="37"/>
      <c r="K11" s="33"/>
      <c r="L11" s="1"/>
      <c r="M11" s="37"/>
      <c r="N11" s="33"/>
      <c r="O11" s="1"/>
      <c r="P11" s="37"/>
      <c r="Q11" s="9"/>
      <c r="R11" s="37"/>
    </row>
    <row r="12" spans="1:18" ht="15.75">
      <c r="A12" s="43" t="s">
        <v>18</v>
      </c>
      <c r="B12" s="33"/>
      <c r="C12" s="1"/>
      <c r="D12" s="37">
        <f>$B$22+B12+C12+B$19</f>
        <v>40</v>
      </c>
      <c r="E12" s="33"/>
      <c r="F12" s="1"/>
      <c r="G12" s="37">
        <f>--$B$22+E12+F12+E$19</f>
        <v>40</v>
      </c>
      <c r="H12" s="33"/>
      <c r="I12" s="1"/>
      <c r="J12" s="37">
        <f>$B$22+H12+I12+H$19</f>
        <v>40</v>
      </c>
      <c r="K12" s="33"/>
      <c r="L12" s="1"/>
      <c r="M12" s="37">
        <f>$B$22+K12+L12+K$19</f>
        <v>40</v>
      </c>
      <c r="N12" s="33"/>
      <c r="O12" s="1"/>
      <c r="P12" s="37">
        <f>$B$22+N12+O12+N$19</f>
        <v>40</v>
      </c>
      <c r="Q12" s="9"/>
      <c r="R12" s="37">
        <f>D12+G12+J12+M12+P12</f>
        <v>200</v>
      </c>
    </row>
    <row r="13" spans="1:18" ht="15.75">
      <c r="A13" s="43" t="s">
        <v>19</v>
      </c>
      <c r="B13" s="33"/>
      <c r="C13" s="1"/>
      <c r="D13" s="37">
        <f>$B$22+B13+C13+B$19</f>
        <v>40</v>
      </c>
      <c r="E13" s="33"/>
      <c r="F13" s="1"/>
      <c r="G13" s="37">
        <f>$B$22+E13+F13+E$19</f>
        <v>40</v>
      </c>
      <c r="H13" s="33"/>
      <c r="I13" s="1"/>
      <c r="J13" s="37">
        <f>$B$22+H13+I13+H$19</f>
        <v>40</v>
      </c>
      <c r="K13" s="33"/>
      <c r="L13" s="1"/>
      <c r="M13" s="37">
        <f>$B$22+K13+L13+K$19</f>
        <v>40</v>
      </c>
      <c r="N13" s="33"/>
      <c r="O13" s="1"/>
      <c r="P13" s="37">
        <f>$B$22+N13+O13+N$19</f>
        <v>40</v>
      </c>
      <c r="Q13" s="9"/>
      <c r="R13" s="37">
        <f>D13+G13+J13+M13+P13</f>
        <v>200</v>
      </c>
    </row>
    <row r="14" spans="1:18" ht="15.75">
      <c r="A14" s="43" t="s">
        <v>20</v>
      </c>
      <c r="B14" s="33"/>
      <c r="C14" s="1"/>
      <c r="D14" s="37">
        <f>$B$22+B14+C14+B$19</f>
        <v>40</v>
      </c>
      <c r="E14" s="33"/>
      <c r="F14" s="1"/>
      <c r="G14" s="37">
        <f>$B$22+E14+F14+E$19</f>
        <v>40</v>
      </c>
      <c r="H14" s="33"/>
      <c r="I14" s="1"/>
      <c r="J14" s="37">
        <f>$B$22+H14+I14+H$19</f>
        <v>40</v>
      </c>
      <c r="K14" s="33"/>
      <c r="L14" s="1"/>
      <c r="M14" s="37">
        <f>$B$22+K14+L14+K$19</f>
        <v>40</v>
      </c>
      <c r="N14" s="33"/>
      <c r="O14" s="1"/>
      <c r="P14" s="37">
        <f>$B$22+N14+O14+N$19</f>
        <v>40</v>
      </c>
      <c r="Q14" s="9"/>
      <c r="R14" s="37">
        <f>D14+G14+J14+M14+P14</f>
        <v>200</v>
      </c>
    </row>
    <row r="15" spans="1:18" ht="15.75">
      <c r="A15" s="43" t="s">
        <v>21</v>
      </c>
      <c r="B15" s="33"/>
      <c r="C15" s="1"/>
      <c r="D15" s="37">
        <f>$B$22+B15+C15+B$19</f>
        <v>40</v>
      </c>
      <c r="E15" s="33"/>
      <c r="F15" s="1"/>
      <c r="G15" s="37">
        <f>$B$22+E15+F15+E$19</f>
        <v>40</v>
      </c>
      <c r="H15" s="33"/>
      <c r="I15" s="1"/>
      <c r="J15" s="37">
        <f>$B$22+H15+I15+H$19</f>
        <v>40</v>
      </c>
      <c r="K15" s="33"/>
      <c r="L15" s="1"/>
      <c r="M15" s="37">
        <f>$B$22+K15+L15+K$19</f>
        <v>40</v>
      </c>
      <c r="N15" s="33"/>
      <c r="O15" s="1"/>
      <c r="P15" s="37">
        <f>$B$22+N15+O15+N$19</f>
        <v>40</v>
      </c>
      <c r="Q15" s="9"/>
      <c r="R15" s="37">
        <f>D15+G15+J15+M15+P15</f>
        <v>200</v>
      </c>
    </row>
    <row r="16" spans="1:18" ht="15.75">
      <c r="A16" s="8"/>
      <c r="B16" s="9"/>
      <c r="C16" s="1"/>
      <c r="D16" s="10"/>
      <c r="E16" s="11"/>
      <c r="F16" s="12"/>
      <c r="G16" s="13"/>
      <c r="H16" s="11"/>
      <c r="I16" s="12"/>
      <c r="J16" s="13"/>
      <c r="K16" s="11"/>
      <c r="L16" s="12"/>
      <c r="M16" s="13"/>
      <c r="N16" s="11"/>
      <c r="O16" s="12"/>
      <c r="P16" s="12"/>
      <c r="Q16" s="11"/>
      <c r="R16" s="13"/>
    </row>
    <row r="17" spans="1:18" ht="15.75">
      <c r="A17" s="14" t="s">
        <v>23</v>
      </c>
      <c r="B17" s="15">
        <f>-SUM(B6:B9)</f>
        <v>0</v>
      </c>
      <c r="C17" s="24">
        <f>SUM(C6:C9)</f>
        <v>0</v>
      </c>
      <c r="D17" s="17"/>
      <c r="E17" s="22">
        <f>-SUM(E6:E9)</f>
        <v>0</v>
      </c>
      <c r="F17" s="16">
        <f>SUM(F6:F9)</f>
        <v>0</v>
      </c>
      <c r="G17" s="10"/>
      <c r="H17" s="1">
        <f>-SUM(H6:H9)</f>
        <v>0</v>
      </c>
      <c r="I17" s="24">
        <f>SUM(I6:I9)</f>
        <v>0</v>
      </c>
      <c r="J17" s="10"/>
      <c r="K17" s="9">
        <f>-SUM(K6:K9)</f>
        <v>0</v>
      </c>
      <c r="L17" s="24">
        <f>SUM(L6:L9)</f>
        <v>0</v>
      </c>
      <c r="M17" s="10"/>
      <c r="N17" s="9">
        <f>-SUM(N6:N9)</f>
        <v>0</v>
      </c>
      <c r="O17" s="24">
        <f>SUM(O6:O9)</f>
        <v>0</v>
      </c>
      <c r="P17" s="10"/>
      <c r="Q17" s="9"/>
      <c r="R17" s="18"/>
    </row>
    <row r="18" spans="1:18" ht="15.75">
      <c r="A18" s="19" t="s">
        <v>24</v>
      </c>
      <c r="B18" s="11">
        <f>-SUM(B12:B16)</f>
        <v>0</v>
      </c>
      <c r="C18" s="23">
        <f>SUM(C12:C16)</f>
        <v>0</v>
      </c>
      <c r="D18" s="13"/>
      <c r="E18" s="23">
        <f>-SUM(E12:E16)</f>
        <v>0</v>
      </c>
      <c r="F18" s="12">
        <f>SUM(F12:F16)</f>
        <v>0</v>
      </c>
      <c r="G18" s="13"/>
      <c r="H18" s="12">
        <f>-SUM(H12:H16)</f>
        <v>0</v>
      </c>
      <c r="I18" s="23">
        <f>SUM(I12:I16)</f>
        <v>0</v>
      </c>
      <c r="J18" s="13"/>
      <c r="K18" s="11">
        <f>-SUM(K12:K16)</f>
        <v>0</v>
      </c>
      <c r="L18" s="23">
        <f>SUM(L12:L16)</f>
        <v>0</v>
      </c>
      <c r="M18" s="13"/>
      <c r="N18" s="11">
        <f>-SUM(N12:N16)</f>
        <v>0</v>
      </c>
      <c r="O18" s="23">
        <f>SUM(O12:O16)</f>
        <v>0</v>
      </c>
      <c r="P18" s="13"/>
      <c r="Q18" s="9"/>
      <c r="R18" s="18"/>
    </row>
    <row r="19" spans="1:18" ht="15.75">
      <c r="A19" s="52" t="s">
        <v>25</v>
      </c>
      <c r="B19" s="53">
        <f>(B17/5)+(B18/2)</f>
        <v>0</v>
      </c>
      <c r="C19" s="53"/>
      <c r="D19" s="54"/>
      <c r="E19" s="53">
        <f>(E17/5)+(E18/2)</f>
        <v>0</v>
      </c>
      <c r="F19" s="53"/>
      <c r="G19" s="54"/>
      <c r="H19" s="53">
        <f>(H17/5)+(H18/2)</f>
        <v>0</v>
      </c>
      <c r="I19" s="53"/>
      <c r="J19" s="54"/>
      <c r="K19" s="53">
        <f>(K17/5)+(K18/2)</f>
        <v>0</v>
      </c>
      <c r="L19" s="53"/>
      <c r="M19" s="54"/>
      <c r="N19" s="53">
        <f>(N17/5)+(N18/2)</f>
        <v>0</v>
      </c>
      <c r="O19" s="53"/>
      <c r="P19" s="54"/>
      <c r="Q19" s="55">
        <f>B19+E19+H19+K19+N19</f>
        <v>0</v>
      </c>
      <c r="R19" s="56"/>
    </row>
    <row r="20" spans="1:18" ht="15.75">
      <c r="I20" s="1"/>
      <c r="J20" s="1"/>
      <c r="K20" s="1"/>
      <c r="L20" s="1"/>
      <c r="M20" s="1"/>
      <c r="N20" s="1"/>
      <c r="P20" s="48"/>
    </row>
    <row r="21" spans="1:18" ht="15.75">
      <c r="A21" s="2" t="s">
        <v>26</v>
      </c>
      <c r="B21" s="20">
        <v>100</v>
      </c>
      <c r="I21" s="40" t="s">
        <v>27</v>
      </c>
      <c r="J21" s="41"/>
      <c r="K21" s="40"/>
      <c r="L21" s="40"/>
      <c r="M21" s="40"/>
      <c r="N21" s="40"/>
      <c r="O21" s="40">
        <v>80</v>
      </c>
      <c r="P21" s="40" t="s">
        <v>28</v>
      </c>
      <c r="Q21" s="41"/>
      <c r="R21" s="40">
        <f>O21-Q19</f>
        <v>80</v>
      </c>
    </row>
    <row r="22" spans="1:18">
      <c r="A22" s="2" t="s">
        <v>29</v>
      </c>
      <c r="B22" s="20">
        <v>40</v>
      </c>
    </row>
    <row r="24" spans="1:18">
      <c r="A24" s="25"/>
    </row>
    <row r="25" spans="1:18" s="21" customFormat="1" ht="25.5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</row>
    <row r="26" spans="1:18" ht="27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</row>
    <row r="27" spans="1:18" ht="28.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</row>
    <row r="28" spans="1:18" ht="26.2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spans="1:18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</row>
    <row r="30" spans="1:18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</row>
    <row r="31" spans="1:18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</row>
  </sheetData>
  <mergeCells count="7">
    <mergeCell ref="A29:R29"/>
    <mergeCell ref="A30:R30"/>
    <mergeCell ref="A31:R31"/>
    <mergeCell ref="A25:R25"/>
    <mergeCell ref="A26:R26"/>
    <mergeCell ref="A27:R27"/>
    <mergeCell ref="A28:R28"/>
  </mergeCells>
  <phoneticPr fontId="1" type="noConversion"/>
  <pageMargins left="0.75" right="0.75" top="1" bottom="1" header="0.5" footer="0.5"/>
  <pageSetup paperSize="9" scale="9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3"/>
  <sheetViews>
    <sheetView tabSelected="1" zoomScale="80" zoomScaleNormal="80" workbookViewId="0">
      <selection activeCell="R5" sqref="R5"/>
    </sheetView>
  </sheetViews>
  <sheetFormatPr defaultColWidth="7.5703125" defaultRowHeight="12.75"/>
  <cols>
    <col min="1" max="1" width="61" style="2" customWidth="1"/>
    <col min="2" max="2" width="15.140625" style="2" customWidth="1"/>
    <col min="3" max="3" width="3.5703125" style="2" customWidth="1"/>
    <col min="4" max="4" width="25.42578125" style="2" customWidth="1"/>
    <col min="5" max="5" width="14" style="2" customWidth="1"/>
    <col min="6" max="6" width="3.42578125" style="2" customWidth="1"/>
    <col min="7" max="7" width="18.140625" style="2" customWidth="1"/>
    <col min="8" max="8" width="14.5703125" style="2" customWidth="1"/>
    <col min="9" max="9" width="3.42578125" style="2" customWidth="1"/>
    <col min="10" max="10" width="17.85546875" style="2" customWidth="1"/>
    <col min="11" max="11" width="15.28515625" style="2" customWidth="1"/>
    <col min="12" max="12" width="3.42578125" style="2" customWidth="1"/>
    <col min="13" max="13" width="18.5703125" style="2" customWidth="1"/>
    <col min="14" max="14" width="12.5703125" style="2" hidden="1" customWidth="1"/>
    <col min="15" max="15" width="9.85546875" style="2" hidden="1" customWidth="1"/>
    <col min="16" max="16" width="19.28515625" style="2" hidden="1" customWidth="1"/>
    <col min="17" max="17" width="4.42578125" style="2" customWidth="1"/>
    <col min="18" max="18" width="20.28515625" style="2" customWidth="1"/>
    <col min="19" max="16384" width="7.5703125" style="2"/>
  </cols>
  <sheetData>
    <row r="1" spans="1:18" ht="15.75">
      <c r="A1" s="27" t="s">
        <v>30</v>
      </c>
      <c r="M1" s="1"/>
    </row>
    <row r="2" spans="1:18">
      <c r="I2" s="3"/>
    </row>
    <row r="3" spans="1:18" ht="12.75" customHeight="1">
      <c r="A3" s="44"/>
      <c r="B3" s="28" t="s">
        <v>31</v>
      </c>
      <c r="C3" s="29"/>
      <c r="D3" s="30"/>
      <c r="E3" s="28" t="s">
        <v>32</v>
      </c>
      <c r="F3" s="29"/>
      <c r="G3" s="30"/>
      <c r="H3" s="28" t="s">
        <v>33</v>
      </c>
      <c r="I3" s="29"/>
      <c r="J3" s="30"/>
      <c r="K3" s="28" t="s">
        <v>34</v>
      </c>
      <c r="L3" s="29"/>
      <c r="M3" s="30"/>
      <c r="N3" s="28" t="s">
        <v>35</v>
      </c>
      <c r="O3" s="29"/>
      <c r="P3" s="29"/>
      <c r="Q3" s="28" t="s">
        <v>36</v>
      </c>
      <c r="R3" s="31"/>
    </row>
    <row r="4" spans="1:18" s="6" customFormat="1" ht="43.5" customHeight="1">
      <c r="A4" s="42" t="s">
        <v>37</v>
      </c>
      <c r="B4" s="34" t="s">
        <v>38</v>
      </c>
      <c r="C4" s="26"/>
      <c r="D4" s="35" t="s">
        <v>39</v>
      </c>
      <c r="E4" s="34" t="s">
        <v>38</v>
      </c>
      <c r="F4" s="26"/>
      <c r="G4" s="35" t="s">
        <v>39</v>
      </c>
      <c r="H4" s="34" t="s">
        <v>38</v>
      </c>
      <c r="I4" s="26"/>
      <c r="J4" s="35" t="s">
        <v>39</v>
      </c>
      <c r="K4" s="34" t="s">
        <v>38</v>
      </c>
      <c r="L4" s="26"/>
      <c r="M4" s="35" t="s">
        <v>39</v>
      </c>
      <c r="N4" s="34" t="s">
        <v>40</v>
      </c>
      <c r="O4" s="26" t="s">
        <v>41</v>
      </c>
      <c r="P4" s="35" t="s">
        <v>42</v>
      </c>
      <c r="Q4" s="4"/>
      <c r="R4" s="35" t="s">
        <v>43</v>
      </c>
    </row>
    <row r="5" spans="1:18" ht="51" customHeight="1">
      <c r="A5" s="63" t="s">
        <v>44</v>
      </c>
      <c r="B5" s="32"/>
      <c r="D5" s="36"/>
      <c r="E5" s="32"/>
      <c r="G5" s="36"/>
      <c r="H5" s="32"/>
      <c r="J5" s="36"/>
      <c r="K5" s="32"/>
      <c r="M5" s="36"/>
      <c r="N5" s="32"/>
      <c r="P5" s="38"/>
      <c r="Q5" s="7"/>
      <c r="R5" s="36"/>
    </row>
    <row r="6" spans="1:18" ht="15.75">
      <c r="A6" s="43" t="s">
        <v>12</v>
      </c>
      <c r="B6" s="32">
        <v>-10</v>
      </c>
      <c r="C6" s="1"/>
      <c r="D6" s="37">
        <f>$B$23+B6+C6+B$21</f>
        <v>7.05</v>
      </c>
      <c r="E6" s="32">
        <v>-1</v>
      </c>
      <c r="F6" s="1"/>
      <c r="G6" s="37">
        <f>$B$23+E6+F6+E$21</f>
        <v>13.2</v>
      </c>
      <c r="H6" s="32">
        <v>-5</v>
      </c>
      <c r="J6" s="37">
        <f>$B$23+H6+I6+H$21</f>
        <v>15</v>
      </c>
      <c r="K6" s="32">
        <v>-5</v>
      </c>
      <c r="L6" s="1"/>
      <c r="M6" s="37">
        <f>$B$23+K6+L6+K$21</f>
        <v>15</v>
      </c>
      <c r="N6" s="33"/>
      <c r="O6" s="1"/>
      <c r="P6" s="37">
        <f>$B$23+N6+O6+N$21</f>
        <v>10</v>
      </c>
      <c r="Q6" s="9"/>
      <c r="R6" s="37">
        <f>D6+G6+J6+M6+P6</f>
        <v>60.25</v>
      </c>
    </row>
    <row r="7" spans="1:18" ht="15.75">
      <c r="A7" s="43" t="s">
        <v>45</v>
      </c>
      <c r="B7" s="32">
        <v>-3</v>
      </c>
      <c r="C7" s="1"/>
      <c r="D7" s="37">
        <f>$B$23+B7+C7+B$21</f>
        <v>14.05</v>
      </c>
      <c r="E7" s="32">
        <v>-3</v>
      </c>
      <c r="F7" s="1"/>
      <c r="G7" s="37">
        <f>$B$23+E7+F7+E$21</f>
        <v>11.2</v>
      </c>
      <c r="H7" s="32">
        <v>-5</v>
      </c>
      <c r="J7" s="37">
        <f>$B$23+H7+I7+H$21</f>
        <v>15</v>
      </c>
      <c r="K7" s="32">
        <v>-5</v>
      </c>
      <c r="L7" s="1"/>
      <c r="M7" s="37">
        <f>$B$23+K7+L7+K$21</f>
        <v>15</v>
      </c>
      <c r="N7" s="33"/>
      <c r="O7" s="1"/>
      <c r="P7" s="37">
        <f>$B$23+N7+O7+N$21</f>
        <v>10</v>
      </c>
      <c r="Q7" s="9"/>
      <c r="R7" s="37">
        <f>D7+G7+J7+M7+P7</f>
        <v>65.25</v>
      </c>
    </row>
    <row r="8" spans="1:18" ht="15.75">
      <c r="A8" s="43" t="s">
        <v>14</v>
      </c>
      <c r="B8" s="32">
        <v>-2</v>
      </c>
      <c r="C8" s="1"/>
      <c r="D8" s="37">
        <f>$B$23+B8+C8+B$21</f>
        <v>15.05</v>
      </c>
      <c r="E8" s="32">
        <v>-3</v>
      </c>
      <c r="F8" s="1"/>
      <c r="G8" s="37">
        <f>$B$23+E8+F8+E$21</f>
        <v>11.2</v>
      </c>
      <c r="H8" s="32">
        <v>-5</v>
      </c>
      <c r="J8" s="37">
        <f>$B$23+H8+I8+H$21</f>
        <v>15</v>
      </c>
      <c r="K8" s="32">
        <v>-5</v>
      </c>
      <c r="L8" s="1"/>
      <c r="M8" s="37">
        <f>$B$23+K8+L8+K$21</f>
        <v>15</v>
      </c>
      <c r="N8" s="33"/>
      <c r="O8" s="1"/>
      <c r="P8" s="37">
        <f>$B$23+N8+O8+N$21</f>
        <v>10</v>
      </c>
      <c r="Q8" s="9"/>
      <c r="R8" s="37">
        <f>D8+G8+J8+M8+P8</f>
        <v>66.25</v>
      </c>
    </row>
    <row r="9" spans="1:18" ht="15.75">
      <c r="A9" s="43" t="s">
        <v>46</v>
      </c>
      <c r="B9" s="32">
        <v>-1</v>
      </c>
      <c r="C9" s="1"/>
      <c r="D9" s="37">
        <f>$B$23+B9+C9+B$21</f>
        <v>16.05</v>
      </c>
      <c r="E9" s="32">
        <v>-3</v>
      </c>
      <c r="F9" s="1"/>
      <c r="G9" s="37">
        <f>$B$23+E9+F9+E$21</f>
        <v>11.2</v>
      </c>
      <c r="H9" s="32">
        <v>-5</v>
      </c>
      <c r="J9" s="37">
        <f>$B$23+H9+I9+H$21</f>
        <v>15</v>
      </c>
      <c r="K9" s="32">
        <v>-5</v>
      </c>
      <c r="L9" s="1"/>
      <c r="M9" s="37">
        <f>$B$23+K9+L9+K$21</f>
        <v>15</v>
      </c>
      <c r="N9" s="33"/>
      <c r="O9" s="1"/>
      <c r="P9" s="37">
        <f>$B$23+N9+O9+N$21</f>
        <v>10</v>
      </c>
      <c r="Q9" s="9"/>
      <c r="R9" s="37">
        <f>D9+G9+J9+M9+P9</f>
        <v>67.25</v>
      </c>
    </row>
    <row r="10" spans="1:18" ht="15.75">
      <c r="A10" s="43" t="s">
        <v>47</v>
      </c>
      <c r="B10" s="32">
        <v>-3</v>
      </c>
      <c r="C10" s="1"/>
      <c r="D10" s="37">
        <f>$B$23+B10+C10+B$21</f>
        <v>14.05</v>
      </c>
      <c r="E10" s="32">
        <v>-1</v>
      </c>
      <c r="F10" s="1"/>
      <c r="G10" s="37">
        <f>$B$23+E10+F10+E$21</f>
        <v>13.2</v>
      </c>
      <c r="H10" s="32">
        <v>-5</v>
      </c>
      <c r="J10" s="37">
        <f>$B$23+H10+I10+H$21</f>
        <v>15</v>
      </c>
      <c r="K10" s="32">
        <v>-5</v>
      </c>
      <c r="L10" s="1"/>
      <c r="M10" s="37">
        <f>$B$23+K10+L10+K$21</f>
        <v>15</v>
      </c>
      <c r="N10" s="33"/>
      <c r="O10" s="1"/>
      <c r="P10" s="37">
        <f>$B$23+N10+O10+N$21</f>
        <v>10</v>
      </c>
      <c r="Q10" s="9"/>
      <c r="R10" s="37">
        <f>D10+G10+J10+M10+P10</f>
        <v>67.25</v>
      </c>
    </row>
    <row r="11" spans="1:18" ht="15.75">
      <c r="A11" s="43"/>
      <c r="B11" s="32"/>
      <c r="C11" s="1"/>
      <c r="D11" s="37"/>
      <c r="E11" s="32"/>
      <c r="F11" s="1"/>
      <c r="G11" s="37"/>
      <c r="H11" s="32"/>
      <c r="J11" s="37"/>
      <c r="K11" s="32"/>
      <c r="L11" s="1"/>
      <c r="M11" s="37"/>
      <c r="N11" s="33"/>
      <c r="O11" s="1"/>
      <c r="P11" s="37"/>
      <c r="Q11" s="9"/>
      <c r="R11" s="37"/>
    </row>
    <row r="12" spans="1:18" ht="30.75">
      <c r="A12" s="63" t="s">
        <v>48</v>
      </c>
      <c r="B12" s="32"/>
      <c r="C12" s="1"/>
      <c r="D12" s="37"/>
      <c r="E12" s="32"/>
      <c r="F12" s="1"/>
      <c r="G12" s="37"/>
      <c r="H12" s="32"/>
      <c r="J12" s="37"/>
      <c r="K12" s="32"/>
      <c r="L12" s="1"/>
      <c r="M12" s="37"/>
      <c r="N12" s="33"/>
      <c r="O12" s="1"/>
      <c r="P12" s="37"/>
      <c r="Q12" s="9"/>
      <c r="R12" s="37"/>
    </row>
    <row r="13" spans="1:18" ht="15.75">
      <c r="A13" s="43" t="s">
        <v>49</v>
      </c>
      <c r="B13" s="32">
        <v>-1</v>
      </c>
      <c r="C13" s="1"/>
      <c r="D13" s="37">
        <f>$B$24+B13+C13+B$21</f>
        <v>10.050000000000001</v>
      </c>
      <c r="E13" s="32">
        <v>-0.5</v>
      </c>
      <c r="F13" s="1"/>
      <c r="G13" s="37">
        <f>--$B$24+E13+F13+E$21</f>
        <v>7.7</v>
      </c>
      <c r="H13" s="32">
        <v>-2</v>
      </c>
      <c r="J13" s="37">
        <f>$B$24+H13+I13+H$21</f>
        <v>12</v>
      </c>
      <c r="K13" s="32">
        <v>-2</v>
      </c>
      <c r="L13" s="1"/>
      <c r="M13" s="37">
        <f>$B$24+K13+L13+K$21</f>
        <v>12</v>
      </c>
      <c r="N13" s="33"/>
      <c r="O13" s="1"/>
      <c r="P13" s="37">
        <f>$B$24+N13+O13+N$21</f>
        <v>4</v>
      </c>
      <c r="Q13" s="9"/>
      <c r="R13" s="37">
        <f>D13+G13+J13+M13+P13</f>
        <v>45.75</v>
      </c>
    </row>
    <row r="14" spans="1:18" ht="15.75">
      <c r="A14" s="43" t="s">
        <v>50</v>
      </c>
      <c r="B14" s="32">
        <v>-0.5</v>
      </c>
      <c r="C14" s="1"/>
      <c r="D14" s="37">
        <f>$B$24+B14+C14+B$21</f>
        <v>10.55</v>
      </c>
      <c r="E14" s="32">
        <v>-0.5</v>
      </c>
      <c r="F14" s="1"/>
      <c r="G14" s="37">
        <f>$B$24+E14+F14+E$21</f>
        <v>7.7</v>
      </c>
      <c r="H14" s="32">
        <v>-2</v>
      </c>
      <c r="J14" s="37">
        <f>$B$24+H14+I14+H$21</f>
        <v>12</v>
      </c>
      <c r="K14" s="32">
        <v>-2</v>
      </c>
      <c r="L14" s="1"/>
      <c r="M14" s="37">
        <f>$B$24+K14+L14+K$21</f>
        <v>12</v>
      </c>
      <c r="N14" s="33"/>
      <c r="O14" s="1"/>
      <c r="P14" s="37">
        <f>$B$24+N14+O14+N$21</f>
        <v>4</v>
      </c>
      <c r="Q14" s="9"/>
      <c r="R14" s="37">
        <f>D14+G14+J14+M14+P14</f>
        <v>46.25</v>
      </c>
    </row>
    <row r="15" spans="1:18" ht="15.75">
      <c r="A15" s="43" t="s">
        <v>51</v>
      </c>
      <c r="B15" s="32">
        <v>-3</v>
      </c>
      <c r="C15" s="1"/>
      <c r="D15" s="37">
        <f>$B$24+B15+C15+B$21</f>
        <v>8.0500000000000007</v>
      </c>
      <c r="E15" s="32">
        <v>-1</v>
      </c>
      <c r="F15" s="1"/>
      <c r="G15" s="37">
        <f>$B$24+E15+F15+E$21</f>
        <v>7.2</v>
      </c>
      <c r="H15" s="32">
        <v>-2</v>
      </c>
      <c r="J15" s="37">
        <f>$B$24+H15+I15+H$21</f>
        <v>12</v>
      </c>
      <c r="K15" s="32">
        <v>-2</v>
      </c>
      <c r="L15" s="1"/>
      <c r="M15" s="37">
        <f>$B$24+K15+L15+K$21</f>
        <v>12</v>
      </c>
      <c r="N15" s="33"/>
      <c r="O15" s="1"/>
      <c r="P15" s="37">
        <f>$B$24+N15+O15+N$21</f>
        <v>4</v>
      </c>
      <c r="Q15" s="9"/>
      <c r="R15" s="37">
        <f>D15+G15+J15+M15+P15</f>
        <v>43.25</v>
      </c>
    </row>
    <row r="16" spans="1:18" ht="15.75">
      <c r="A16" s="43" t="s">
        <v>52</v>
      </c>
      <c r="B16" s="32">
        <v>-1</v>
      </c>
      <c r="C16" s="1"/>
      <c r="D16" s="37">
        <f>$B$24+B16+C16+B$21</f>
        <v>10.050000000000001</v>
      </c>
      <c r="E16" s="32">
        <v>-1</v>
      </c>
      <c r="F16" s="1"/>
      <c r="G16" s="37">
        <f>$B$24+E16+F16+E$21</f>
        <v>7.2</v>
      </c>
      <c r="H16" s="32">
        <v>-2</v>
      </c>
      <c r="J16" s="37">
        <f>$B$24+H16+I16+H$21</f>
        <v>12</v>
      </c>
      <c r="K16" s="32">
        <v>-2</v>
      </c>
      <c r="L16" s="1"/>
      <c r="M16" s="37">
        <f>$B$24+K16+L16+K$21</f>
        <v>12</v>
      </c>
      <c r="N16" s="33"/>
      <c r="O16" s="1"/>
      <c r="P16" s="37">
        <f>$B$24+N16+O16+N$21</f>
        <v>4</v>
      </c>
      <c r="Q16" s="9"/>
      <c r="R16" s="37">
        <f>D16+G16+J16+M16+P16</f>
        <v>45.25</v>
      </c>
    </row>
    <row r="17" spans="1:18" ht="15.75">
      <c r="A17" s="43" t="s">
        <v>22</v>
      </c>
      <c r="B17" s="32">
        <v>-1</v>
      </c>
      <c r="C17" s="1"/>
      <c r="D17" s="37">
        <f>$B$24+B17+C17+B$21</f>
        <v>10.050000000000001</v>
      </c>
      <c r="E17" s="32">
        <v>-1</v>
      </c>
      <c r="F17" s="1"/>
      <c r="G17" s="37">
        <f>$B$24+E17+F17+E$21</f>
        <v>7.2</v>
      </c>
      <c r="H17" s="32">
        <v>-2</v>
      </c>
      <c r="J17" s="37">
        <f>$B$24+H17+I17+H$21</f>
        <v>12</v>
      </c>
      <c r="K17" s="32">
        <v>-2</v>
      </c>
      <c r="L17" s="1"/>
      <c r="M17" s="37">
        <f>$B$24+K17+L17+K$21</f>
        <v>12</v>
      </c>
      <c r="N17" s="33"/>
      <c r="O17" s="1"/>
      <c r="P17" s="37">
        <f>$B$24+N17+O17+N$21</f>
        <v>4</v>
      </c>
      <c r="Q17" s="9"/>
      <c r="R17" s="37">
        <f>D17+G17+J17+M17+P17</f>
        <v>45.25</v>
      </c>
    </row>
    <row r="18" spans="1:18" ht="15.75">
      <c r="A18" s="8"/>
      <c r="B18" s="9"/>
      <c r="C18" s="1"/>
      <c r="D18" s="10"/>
      <c r="E18" s="11"/>
      <c r="F18" s="12"/>
      <c r="G18" s="13"/>
      <c r="H18" s="11"/>
      <c r="I18" s="12"/>
      <c r="J18" s="13"/>
      <c r="K18" s="11"/>
      <c r="L18" s="12"/>
      <c r="M18" s="13"/>
      <c r="N18" s="11"/>
      <c r="O18" s="12"/>
      <c r="P18" s="12"/>
      <c r="Q18" s="11"/>
      <c r="R18" s="13"/>
    </row>
    <row r="19" spans="1:18" ht="15.75">
      <c r="A19" s="62" t="s">
        <v>53</v>
      </c>
      <c r="B19" s="15">
        <f>-SUM(B6:B10)</f>
        <v>19</v>
      </c>
      <c r="C19" s="24">
        <f>SUM(C6:C10)</f>
        <v>0</v>
      </c>
      <c r="D19" s="17"/>
      <c r="E19" s="22">
        <f>-SUM(E6:E10)</f>
        <v>11</v>
      </c>
      <c r="F19" s="16">
        <f>SUM(F6:F10)</f>
        <v>0</v>
      </c>
      <c r="G19" s="10"/>
      <c r="H19" s="1">
        <f>-SUM(H6:H10)</f>
        <v>25</v>
      </c>
      <c r="I19" s="24">
        <f>SUM(I6:I10)</f>
        <v>0</v>
      </c>
      <c r="J19" s="10"/>
      <c r="K19" s="9">
        <f>-SUM(K6:K10)</f>
        <v>25</v>
      </c>
      <c r="L19" s="24">
        <f>SUM(L6:L10)</f>
        <v>0</v>
      </c>
      <c r="M19" s="10"/>
      <c r="N19" s="9">
        <f>-SUM(N6:N10)</f>
        <v>0</v>
      </c>
      <c r="O19" s="24">
        <f>SUM(O6:O10)</f>
        <v>0</v>
      </c>
      <c r="P19" s="10"/>
      <c r="Q19" s="9"/>
      <c r="R19" s="18"/>
    </row>
    <row r="20" spans="1:18" ht="15.75">
      <c r="A20" s="4" t="s">
        <v>54</v>
      </c>
      <c r="B20" s="11">
        <f>-SUM(B13:B18)</f>
        <v>6.5</v>
      </c>
      <c r="C20" s="23">
        <f>SUM(C13:C18)</f>
        <v>0</v>
      </c>
      <c r="D20" s="13"/>
      <c r="E20" s="23">
        <f>-SUM(E13:E18)</f>
        <v>4</v>
      </c>
      <c r="F20" s="12">
        <f>SUM(F13:F18)</f>
        <v>0</v>
      </c>
      <c r="G20" s="13"/>
      <c r="H20" s="12">
        <f>-SUM(H13:H18)</f>
        <v>10</v>
      </c>
      <c r="I20" s="23">
        <f>SUM(I13:I18)</f>
        <v>0</v>
      </c>
      <c r="J20" s="13"/>
      <c r="K20" s="11">
        <f>-SUM(K13:K18)</f>
        <v>10</v>
      </c>
      <c r="L20" s="23">
        <f>SUM(L13:L18)</f>
        <v>0</v>
      </c>
      <c r="M20" s="13"/>
      <c r="N20" s="11">
        <f>-SUM(N13:N18)</f>
        <v>0</v>
      </c>
      <c r="O20" s="23">
        <f>SUM(O13:O18)</f>
        <v>0</v>
      </c>
      <c r="P20" s="13"/>
      <c r="Q20" s="9"/>
      <c r="R20" s="18"/>
    </row>
    <row r="21" spans="1:18" ht="15.75">
      <c r="A21" s="57" t="s">
        <v>55</v>
      </c>
      <c r="B21" s="58">
        <f>(B19/5)+(B20/2)</f>
        <v>7.05</v>
      </c>
      <c r="C21" s="58"/>
      <c r="D21" s="59"/>
      <c r="E21" s="58">
        <f>(E19/5)+(E20/2)</f>
        <v>4.2</v>
      </c>
      <c r="F21" s="58"/>
      <c r="G21" s="59"/>
      <c r="H21" s="58">
        <f>(H19/5)+(H20/2)</f>
        <v>10</v>
      </c>
      <c r="I21" s="58"/>
      <c r="J21" s="59"/>
      <c r="K21" s="58">
        <f>(K19/5)+(K20/2)</f>
        <v>10</v>
      </c>
      <c r="L21" s="58"/>
      <c r="M21" s="59"/>
      <c r="N21" s="58">
        <f>(N19/5)+(N20/2)</f>
        <v>0</v>
      </c>
      <c r="O21" s="58"/>
      <c r="P21" s="59"/>
      <c r="Q21" s="60">
        <f>B21+E21+H21+K21+N21</f>
        <v>31.25</v>
      </c>
      <c r="R21" s="61"/>
    </row>
    <row r="22" spans="1:18" ht="15.75">
      <c r="I22" s="1"/>
      <c r="J22" s="1"/>
      <c r="K22" s="1"/>
      <c r="L22" s="1"/>
      <c r="M22" s="1"/>
      <c r="N22" s="1"/>
      <c r="P22" s="48"/>
    </row>
    <row r="23" spans="1:18" ht="15.75">
      <c r="A23" s="2" t="s">
        <v>56</v>
      </c>
      <c r="B23" s="20">
        <v>10</v>
      </c>
      <c r="I23" s="65" t="s">
        <v>57</v>
      </c>
      <c r="J23" s="66"/>
      <c r="K23" s="65"/>
      <c r="L23" s="65"/>
      <c r="M23" s="65"/>
      <c r="N23" s="65"/>
      <c r="O23" s="65">
        <v>10</v>
      </c>
      <c r="P23" s="65" t="s">
        <v>58</v>
      </c>
      <c r="Q23" s="66"/>
      <c r="R23" s="65">
        <v>40</v>
      </c>
    </row>
    <row r="24" spans="1:18" ht="15.75">
      <c r="A24" s="2" t="s">
        <v>59</v>
      </c>
      <c r="B24" s="20">
        <v>4</v>
      </c>
      <c r="I24" s="65" t="s">
        <v>60</v>
      </c>
      <c r="J24" s="66"/>
      <c r="K24" s="65"/>
      <c r="L24" s="65"/>
      <c r="M24" s="40">
        <f>R23-Q21</f>
        <v>8.75</v>
      </c>
      <c r="N24" s="40"/>
      <c r="O24" s="40">
        <f>O23-Q21</f>
        <v>-21.25</v>
      </c>
    </row>
    <row r="26" spans="1:18">
      <c r="A26" s="25"/>
    </row>
    <row r="27" spans="1:18" s="21" customFormat="1" ht="14.25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</row>
    <row r="28" spans="1:18" ht="15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</row>
    <row r="29" spans="1:18" ht="21.6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</row>
    <row r="30" spans="1:18" ht="26.25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</row>
    <row r="31" spans="1:18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</row>
    <row r="32" spans="1:18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</row>
    <row r="33" spans="1:18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</row>
  </sheetData>
  <mergeCells count="7">
    <mergeCell ref="A33:R33"/>
    <mergeCell ref="A27:R27"/>
    <mergeCell ref="A28:R28"/>
    <mergeCell ref="A29:R29"/>
    <mergeCell ref="A30:R30"/>
    <mergeCell ref="A31:R31"/>
    <mergeCell ref="A32:R32"/>
  </mergeCells>
  <conditionalFormatting sqref="M24">
    <cfRule type="cellIs" dxfId="4" priority="1" stopIfTrue="1" operator="between">
      <formula>0</formula>
      <formula>-100</formula>
    </cfRule>
    <cfRule type="cellIs" dxfId="3" priority="2" stopIfTrue="1" operator="between">
      <formula>9.999</formula>
      <formula>0</formula>
    </cfRule>
    <cfRule type="cellIs" dxfId="2" priority="3" stopIfTrue="1" operator="between">
      <formula>39.999</formula>
      <formula>30</formula>
    </cfRule>
    <cfRule type="cellIs" dxfId="1" priority="4" stopIfTrue="1" operator="between">
      <formula>29.999</formula>
      <formula>20</formula>
    </cfRule>
    <cfRule type="cellIs" dxfId="0" priority="5" stopIfTrue="1" operator="between">
      <formula>19.999</formula>
      <formula>10</formula>
    </cfRule>
  </conditionalFormatting>
  <pageMargins left="0.75" right="0.75" top="1" bottom="1" header="0.5" footer="0.5"/>
  <pageSetup paperSize="9" scale="95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CC6CBC616291D46AA84EAA0321A0655" ma:contentTypeVersion="17" ma:contentTypeDescription="Opprett et nytt dokument." ma:contentTypeScope="" ma:versionID="d549709f4414f47df23b9104d7d2abb7">
  <xsd:schema xmlns:xsd="http://www.w3.org/2001/XMLSchema" xmlns:xs="http://www.w3.org/2001/XMLSchema" xmlns:p="http://schemas.microsoft.com/office/2006/metadata/properties" xmlns:ns2="86472830-d49d-4f03-a158-8474e62b2c64" xmlns:ns3="9b263df5-b05a-450c-b9c9-16a7b4abae4d" targetNamespace="http://schemas.microsoft.com/office/2006/metadata/properties" ma:root="true" ma:fieldsID="5828859907761d8517c4682598110dd7" ns2:_="" ns3:_="">
    <xsd:import namespace="86472830-d49d-4f03-a158-8474e62b2c64"/>
    <xsd:import namespace="9b263df5-b05a-450c-b9c9-16a7b4abae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72830-d49d-4f03-a158-8474e62b2c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taxonomy="true" ma:internalName="lcf76f155ced4ddcb4097134ff3c332f" ma:taxonomyFieldName="MediaServiceImageTags" ma:displayName="Bildemerkelapper" ma:readOnly="false" ma:fieldId="{5cf76f15-5ced-4ddc-b409-7134ff3c332f}" ma:taxonomyMulti="true" ma:sspId="c22fd018-c39b-462c-89de-126a365ef1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63df5-b05a-450c-b9c9-16a7b4abae4d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3aab458a-ba16-4fb7-ab01-6638e8258443}" ma:internalName="TaxCatchAll" ma:showField="CatchAllData" ma:web="9b263df5-b05a-450c-b9c9-16a7b4abae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6472830-d49d-4f03-a158-8474e62b2c64">
      <Terms xmlns="http://schemas.microsoft.com/office/infopath/2007/PartnerControls"/>
    </lcf76f155ced4ddcb4097134ff3c332f>
    <TaxCatchAll xmlns="9b263df5-b05a-450c-b9c9-16a7b4abae4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736744-41FC-4593-ABD7-FA069A200D28}"/>
</file>

<file path=customXml/itemProps2.xml><?xml version="1.0" encoding="utf-8"?>
<ds:datastoreItem xmlns:ds="http://schemas.openxmlformats.org/officeDocument/2006/customXml" ds:itemID="{D18602D5-7D62-4698-80C8-DA871DB2917B}"/>
</file>

<file path=customXml/itemProps3.xml><?xml version="1.0" encoding="utf-8"?>
<ds:datastoreItem xmlns:ds="http://schemas.openxmlformats.org/officeDocument/2006/customXml" ds:itemID="{A23E32E2-F678-4612-BBC2-1A06194C6961}"/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Bath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Global Climate Change Game Spreadsheet</dc:title>
  <dc:subject>Economics</dc:subject>
  <dc:creator>James Copestake</dc:creator>
  <cp:keywords/>
  <dc:description/>
  <cp:lastModifiedBy>Karin Fossheim</cp:lastModifiedBy>
  <cp:revision/>
  <dcterms:created xsi:type="dcterms:W3CDTF">2009-12-09T10:29:27Z</dcterms:created>
  <dcterms:modified xsi:type="dcterms:W3CDTF">2024-12-09T08:28:26Z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0x0101002CC6CBC616291D46AA84EAA0321A0655</vt:lpwstr>
  </property>
  <property fmtid="{D5CDD505-2E9C-101B-9397-08002B2CF9AE}" pid="3" name="MediaServiceImageTags">
    <vt:lpwstr/>
  </property>
</Properties>
</file>